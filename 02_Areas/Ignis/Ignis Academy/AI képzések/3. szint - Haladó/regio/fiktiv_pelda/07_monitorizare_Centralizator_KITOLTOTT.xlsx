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alizator 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3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pivotButton="0" quotePrefix="0" xfId="0"/>
    <xf numFmtId="0" fontId="0" fillId="0" borderId="1" applyAlignment="1" pivotButton="0" quotePrefix="0" xfId="0">
      <alignment horizontal="left" vertical="center" wrapText="1"/>
    </xf>
    <xf numFmtId="3" fontId="0" fillId="5" borderId="1" applyProtection="1" pivotButton="0" quotePrefix="0" xfId="0">
      <protection locked="0" hidden="0"/>
    </xf>
    <xf numFmtId="3" fontId="0" fillId="0" borderId="1" pivotButton="0" quotePrefix="0" xfId="0"/>
    <xf numFmtId="0" fontId="0" fillId="6" borderId="1" pivotButton="0" quotePrefix="0" xfId="0"/>
    <xf numFmtId="0" fontId="4" fillId="6" borderId="1" pivotButton="0" quotePrefix="0" xfId="0"/>
    <xf numFmtId="3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CENTRALIZATOR SITUAȚII DE LUCRĂRI (monitorizare execuție)</t>
        </is>
      </c>
    </row>
    <row r="2">
      <c r="A2" t="inlineStr">
        <is>
          <t>Proiect: Extindere fabrică procesare lapte — NAPSUGÁR TEJÜZEM SRL (exemplu fictiv)</t>
        </is>
      </c>
    </row>
    <row r="4">
      <c r="A4" s="2" t="inlineStr">
        <is>
          <t>Cod</t>
        </is>
      </c>
      <c r="B4" s="2" t="inlineStr">
        <is>
          <t>Denumirea capitolelor de cheltuieli</t>
        </is>
      </c>
      <c r="C4" s="2" t="inlineStr">
        <is>
          <t>Valoare contract
(lei, fără TVA)</t>
        </is>
      </c>
      <c r="D4" s="2" t="inlineStr">
        <is>
          <t>SL 1
15.09.2026</t>
        </is>
      </c>
      <c r="E4" s="2" t="inlineStr">
        <is>
          <t>SL 2</t>
        </is>
      </c>
      <c r="F4" s="2" t="inlineStr">
        <is>
          <t>SL 3</t>
        </is>
      </c>
      <c r="G4" s="2" t="inlineStr">
        <is>
          <t>Total decontat</t>
        </is>
      </c>
      <c r="H4" s="2" t="inlineStr">
        <is>
          <t>Rest de executat</t>
        </is>
      </c>
    </row>
    <row r="5">
      <c r="A5" s="3" t="inlineStr">
        <is>
          <t>4.1</t>
        </is>
      </c>
      <c r="B5" s="4" t="inlineStr">
        <is>
          <t>Construcții și instalații</t>
        </is>
      </c>
      <c r="C5" s="5">
        <f>C6+C10+C14+C17</f>
        <v/>
      </c>
      <c r="D5" s="5">
        <f>D6+D10+D14+D17</f>
        <v/>
      </c>
      <c r="E5" s="5">
        <f>E6+E10+E14+E17</f>
        <v/>
      </c>
      <c r="F5" s="5">
        <f>F6+F10+F14+F17</f>
        <v/>
      </c>
      <c r="G5" s="5">
        <f>G6+G10+G14+G17</f>
        <v/>
      </c>
      <c r="H5" s="5">
        <f>H6+H10+H14+H17</f>
        <v/>
      </c>
    </row>
    <row r="6">
      <c r="A6" s="6" t="inlineStr">
        <is>
          <t>4.1.1</t>
        </is>
      </c>
      <c r="B6" s="7" t="inlineStr">
        <is>
          <t xml:space="preserve">   Hala de procesare lapte</t>
        </is>
      </c>
      <c r="C6" s="8">
        <f>C7+C8+C9</f>
        <v/>
      </c>
      <c r="D6" s="8">
        <f>D7+D8+D9</f>
        <v/>
      </c>
      <c r="E6" s="8">
        <f>E7+E8+E9</f>
        <v/>
      </c>
      <c r="F6" s="8">
        <f>F7+F8+F9</f>
        <v/>
      </c>
      <c r="G6" s="8">
        <f>G7+G8+G9</f>
        <v/>
      </c>
      <c r="H6" s="8">
        <f>H7+H8+H9</f>
        <v/>
      </c>
    </row>
    <row r="7">
      <c r="A7" s="3" t="inlineStr">
        <is>
          <t>4.1.1.1</t>
        </is>
      </c>
      <c r="B7" s="9" t="inlineStr">
        <is>
          <t xml:space="preserve">      Rezistență</t>
        </is>
      </c>
      <c r="C7" s="10" t="n">
        <v>1200000</v>
      </c>
      <c r="D7" s="10" t="n">
        <v>400000</v>
      </c>
      <c r="E7" s="10" t="n"/>
      <c r="F7" s="10" t="n"/>
      <c r="G7" s="11">
        <f>SUM(D7:F7)</f>
        <v/>
      </c>
      <c r="H7" s="11">
        <f>C7-G7</f>
        <v/>
      </c>
    </row>
    <row r="8">
      <c r="A8" s="3" t="inlineStr">
        <is>
          <t>4.1.1.2</t>
        </is>
      </c>
      <c r="B8" s="9" t="inlineStr">
        <is>
          <t xml:space="preserve">      Arhitectură</t>
        </is>
      </c>
      <c r="C8" s="10" t="n">
        <v>650000</v>
      </c>
      <c r="D8" s="10" t="n">
        <v>0</v>
      </c>
      <c r="E8" s="10" t="n"/>
      <c r="F8" s="10" t="n"/>
      <c r="G8" s="11">
        <f>SUM(D8:F8)</f>
        <v/>
      </c>
      <c r="H8" s="11">
        <f>C8-G8</f>
        <v/>
      </c>
    </row>
    <row r="9">
      <c r="A9" s="3" t="inlineStr">
        <is>
          <t>4.1.1.3</t>
        </is>
      </c>
      <c r="B9" s="9" t="inlineStr">
        <is>
          <t xml:space="preserve">      Instalații</t>
        </is>
      </c>
      <c r="C9" s="10" t="n">
        <v>480000</v>
      </c>
      <c r="D9" s="10" t="n">
        <v>0</v>
      </c>
      <c r="E9" s="10" t="n"/>
      <c r="F9" s="10" t="n"/>
      <c r="G9" s="11">
        <f>SUM(D9:F9)</f>
        <v/>
      </c>
      <c r="H9" s="11">
        <f>C9-G9</f>
        <v/>
      </c>
    </row>
    <row r="10">
      <c r="A10" s="6" t="inlineStr">
        <is>
          <t>4.1.2</t>
        </is>
      </c>
      <c r="B10" s="7" t="inlineStr">
        <is>
          <t xml:space="preserve">   Depozit frigorific</t>
        </is>
      </c>
      <c r="C10" s="8">
        <f>C11+C12+C13</f>
        <v/>
      </c>
      <c r="D10" s="8">
        <f>D11+D12+D13</f>
        <v/>
      </c>
      <c r="E10" s="8">
        <f>E11+E12+E13</f>
        <v/>
      </c>
      <c r="F10" s="8">
        <f>F11+F12+F13</f>
        <v/>
      </c>
      <c r="G10" s="8">
        <f>G11+G12+G13</f>
        <v/>
      </c>
      <c r="H10" s="8">
        <f>H11+H12+H13</f>
        <v/>
      </c>
    </row>
    <row r="11">
      <c r="A11" s="3" t="inlineStr">
        <is>
          <t>4.1.2.1</t>
        </is>
      </c>
      <c r="B11" s="9" t="inlineStr">
        <is>
          <t xml:space="preserve">      Rezistență</t>
        </is>
      </c>
      <c r="C11" s="10" t="n">
        <v>240000</v>
      </c>
      <c r="D11" s="10" t="n">
        <v>120000</v>
      </c>
      <c r="E11" s="10" t="n"/>
      <c r="F11" s="10" t="n"/>
      <c r="G11" s="11">
        <f>SUM(D11:F11)</f>
        <v/>
      </c>
      <c r="H11" s="11">
        <f>C11-G11</f>
        <v/>
      </c>
    </row>
    <row r="12">
      <c r="A12" s="3" t="inlineStr">
        <is>
          <t>4.1.2.2</t>
        </is>
      </c>
      <c r="B12" s="9" t="inlineStr">
        <is>
          <t xml:space="preserve">      Arhitectură</t>
        </is>
      </c>
      <c r="C12" s="10" t="n">
        <v>90000</v>
      </c>
      <c r="D12" s="10" t="n">
        <v>0</v>
      </c>
      <c r="E12" s="10" t="n"/>
      <c r="F12" s="10" t="n"/>
      <c r="G12" s="11">
        <f>SUM(D12:F12)</f>
        <v/>
      </c>
      <c r="H12" s="11">
        <f>C12-G12</f>
        <v/>
      </c>
    </row>
    <row r="13">
      <c r="A13" s="3" t="inlineStr">
        <is>
          <t>4.1.2.3</t>
        </is>
      </c>
      <c r="B13" s="9" t="inlineStr">
        <is>
          <t xml:space="preserve">      Instalații</t>
        </is>
      </c>
      <c r="C13" s="10" t="n">
        <v>50000</v>
      </c>
      <c r="D13" s="10" t="n">
        <v>0</v>
      </c>
      <c r="E13" s="10" t="n"/>
      <c r="F13" s="10" t="n"/>
      <c r="G13" s="11">
        <f>SUM(D13:F13)</f>
        <v/>
      </c>
      <c r="H13" s="11">
        <f>C13-G13</f>
        <v/>
      </c>
    </row>
    <row r="14">
      <c r="A14" s="6" t="inlineStr">
        <is>
          <t>4.1.3</t>
        </is>
      </c>
      <c r="B14" s="7" t="inlineStr">
        <is>
          <t xml:space="preserve">   Centrală termică</t>
        </is>
      </c>
      <c r="C14" s="8">
        <f>C15+C16</f>
        <v/>
      </c>
      <c r="D14" s="8">
        <f>D15+D16</f>
        <v/>
      </c>
      <c r="E14" s="8">
        <f>E15+E16</f>
        <v/>
      </c>
      <c r="F14" s="8">
        <f>F15+F16</f>
        <v/>
      </c>
      <c r="G14" s="8">
        <f>G15+G16</f>
        <v/>
      </c>
      <c r="H14" s="8">
        <f>H15+H16</f>
        <v/>
      </c>
    </row>
    <row r="15">
      <c r="A15" s="3" t="inlineStr">
        <is>
          <t>4.1.3.1</t>
        </is>
      </c>
      <c r="B15" s="9" t="inlineStr">
        <is>
          <t xml:space="preserve">      Construcții</t>
        </is>
      </c>
      <c r="C15" s="10" t="n">
        <v>150000</v>
      </c>
      <c r="D15" s="10" t="n">
        <v>0</v>
      </c>
      <c r="E15" s="10" t="n"/>
      <c r="F15" s="10" t="n"/>
      <c r="G15" s="11">
        <f>SUM(D15:F15)</f>
        <v/>
      </c>
      <c r="H15" s="11">
        <f>C15-G15</f>
        <v/>
      </c>
    </row>
    <row r="16">
      <c r="A16" s="3" t="inlineStr">
        <is>
          <t>4.1.3.2</t>
        </is>
      </c>
      <c r="B16" s="9" t="inlineStr">
        <is>
          <t xml:space="preserve">      Instalații</t>
        </is>
      </c>
      <c r="C16" s="10" t="n">
        <v>120000</v>
      </c>
      <c r="D16" s="10" t="n">
        <v>0</v>
      </c>
      <c r="E16" s="10" t="n"/>
      <c r="F16" s="10" t="n"/>
      <c r="G16" s="11">
        <f>SUM(D16:F16)</f>
        <v/>
      </c>
      <c r="H16" s="11">
        <f>C16-G16</f>
        <v/>
      </c>
    </row>
    <row r="17">
      <c r="A17" s="3" t="inlineStr">
        <is>
          <t>4.1.4</t>
        </is>
      </c>
      <c r="B17" s="9" t="inlineStr">
        <is>
          <t xml:space="preserve">   Amenajări exterioare</t>
        </is>
      </c>
      <c r="C17" s="10" t="n">
        <v>210000</v>
      </c>
      <c r="D17" s="10" t="n">
        <v>90000</v>
      </c>
      <c r="E17" s="10" t="n"/>
      <c r="F17" s="10" t="n"/>
      <c r="G17" s="11">
        <f>SUM(D17:F17)</f>
        <v/>
      </c>
      <c r="H17" s="11">
        <f>C17-G17</f>
        <v/>
      </c>
    </row>
    <row r="18">
      <c r="A18" s="3" t="inlineStr">
        <is>
          <t>4.2</t>
        </is>
      </c>
      <c r="B18" s="9" t="inlineStr">
        <is>
          <t>Montaj utilaje, echipamente</t>
        </is>
      </c>
      <c r="C18" s="10" t="n">
        <v>95000</v>
      </c>
      <c r="D18" s="10" t="n">
        <v>0</v>
      </c>
      <c r="E18" s="10" t="n"/>
      <c r="F18" s="10" t="n"/>
      <c r="G18" s="11">
        <f>SUM(D18:F18)</f>
        <v/>
      </c>
      <c r="H18" s="11">
        <f>C18-G18</f>
        <v/>
      </c>
    </row>
    <row r="19">
      <c r="A19" s="3" t="inlineStr">
        <is>
          <t>4.3</t>
        </is>
      </c>
      <c r="B19" s="9" t="inlineStr">
        <is>
          <t>Utilaje, echipamente (cu montaj)</t>
        </is>
      </c>
      <c r="C19" s="10" t="n">
        <v>1850000</v>
      </c>
      <c r="D19" s="10" t="n">
        <v>0</v>
      </c>
      <c r="E19" s="10" t="n"/>
      <c r="F19" s="10" t="n"/>
      <c r="G19" s="11">
        <f>SUM(D19:F19)</f>
        <v/>
      </c>
      <c r="H19" s="11">
        <f>C19-G19</f>
        <v/>
      </c>
    </row>
    <row r="20">
      <c r="A20" s="3" t="inlineStr">
        <is>
          <t>4.5</t>
        </is>
      </c>
      <c r="B20" s="9" t="inlineStr">
        <is>
          <t>Dotări</t>
        </is>
      </c>
      <c r="C20" s="10" t="n">
        <v>240000</v>
      </c>
      <c r="D20" s="10" t="n">
        <v>0</v>
      </c>
      <c r="E20" s="10" t="n"/>
      <c r="F20" s="10" t="n"/>
      <c r="G20" s="11">
        <f>SUM(D20:F20)</f>
        <v/>
      </c>
      <c r="H20" s="11">
        <f>C20-G20</f>
        <v/>
      </c>
    </row>
    <row r="21">
      <c r="A21" s="12" t="n"/>
      <c r="B21" s="13" t="inlineStr">
        <is>
          <t>TOTAL (fără TVA)</t>
        </is>
      </c>
      <c r="C21" s="14">
        <f>C5+C18+C19+C20</f>
        <v/>
      </c>
      <c r="D21" s="14">
        <f>D5+D18+D19+D20</f>
        <v/>
      </c>
      <c r="E21" s="14">
        <f>E5+E18+E19+E20</f>
        <v/>
      </c>
      <c r="F21" s="14">
        <f>F5+F18+F19+F20</f>
        <v/>
      </c>
      <c r="G21" s="14">
        <f>G5+G18+G19+G20</f>
        <v/>
      </c>
      <c r="H21" s="14">
        <f>H5+H18+H19+H20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2026-07-01T13:56:08Z</dcterms:created>
  <dcterms:modified xmlns:dcterms="http://purl.org/dc/terms/" xmlns:xsi="http://www.w3.org/2001/XMLSchema-instance" xsi:type="dcterms:W3CDTF">2026-07-01T13:56:08Z</dcterms:modified>
</cp:coreProperties>
</file>