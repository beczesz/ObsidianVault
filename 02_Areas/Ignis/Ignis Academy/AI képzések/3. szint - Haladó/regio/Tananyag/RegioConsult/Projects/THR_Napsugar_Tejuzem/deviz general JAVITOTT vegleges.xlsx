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G" sheetId="1" state="visible" r:id="rId1"/>
    <sheet xmlns:r="http://schemas.openxmlformats.org/officeDocument/2006/relationships" name="0_IG" sheetId="2" state="visible" r:id="rId2"/>
    <sheet xmlns:r="http://schemas.openxmlformats.org/officeDocument/2006/relationships" name="5_DO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Verdana"/>
      <b val="1"/>
      <color rgb="00404040"/>
      <sz val="9"/>
    </font>
    <font>
      <name val="Verdana"/>
      <color rgb="00404040"/>
      <sz val="9"/>
    </font>
    <font>
      <name val="Verdana"/>
      <b val="1"/>
      <color rgb="00404040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0" fontId="0" fillId="4" borderId="1" pivotButton="0" quotePrefix="0" xfId="0"/>
    <xf numFmtId="0" fontId="1" fillId="4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wrapText="1"/>
    </xf>
    <xf numFmtId="3" fontId="2" fillId="2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3" borderId="0" pivotButton="0" quotePrefix="0" xfId="0"/>
    <xf numFmtId="0" fontId="1" fillId="3" borderId="0" applyAlignment="1" pivotButton="0" quotePrefix="0" xfId="0">
      <alignment horizontal="left" wrapText="1"/>
    </xf>
    <xf numFmtId="3" fontId="1" fillId="3" borderId="1" applyAlignment="1" pivotButton="0" quotePrefix="0" xfId="0">
      <alignment horizontal="right"/>
    </xf>
    <xf numFmtId="0" fontId="0" fillId="4" borderId="0" pivotButton="0" quotePrefix="0" xfId="0"/>
    <xf numFmtId="0" fontId="1" fillId="4" borderId="0" applyAlignment="1" pivotButton="0" quotePrefix="0" xfId="0">
      <alignment horizontal="left" wrapText="1"/>
    </xf>
    <xf numFmtId="3" fontId="1" fillId="4" borderId="1" applyAlignment="1" pivotButton="0" quotePrefix="0" xfId="0">
      <alignment horizontal="right"/>
    </xf>
    <xf numFmtId="0" fontId="1" fillId="0" borderId="0" applyAlignment="1" pivotButton="0" quotePrefix="0" xfId="0">
      <alignment horizontal="left" wrapText="1"/>
    </xf>
    <xf numFmtId="3" fontId="1" fillId="0" borderId="0" applyAlignment="1" pivotButton="0" quotePrefix="0" xfId="0">
      <alignment horizontal="right"/>
    </xf>
    <xf numFmtId="2" fontId="2" fillId="0" borderId="0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left" wrapText="1"/>
    </xf>
    <xf numFmtId="3" fontId="1" fillId="0" borderId="1" applyAlignment="1" pivotButton="0" quotePrefix="0" xfId="0">
      <alignment horizontal="right"/>
    </xf>
    <xf numFmtId="3" fontId="1" fillId="3" borderId="0" applyAlignment="1" pivotButton="0" quotePrefix="0" xfId="0">
      <alignment horizontal="right"/>
    </xf>
    <xf numFmtId="0" fontId="2" fillId="0" borderId="0" applyAlignment="1" pivotButton="0" quotePrefix="0" xfId="0">
      <alignment horizontal="left" wrapText="1"/>
    </xf>
    <xf numFmtId="3" fontId="2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9" customWidth="1" min="1" max="1"/>
    <col width="58" customWidth="1" min="2" max="2"/>
    <col width="17" customWidth="1" min="3" max="3"/>
    <col width="15" customWidth="1" min="4" max="4"/>
    <col width="17" customWidth="1" min="5" max="5"/>
    <col width="15" customWidth="1" min="6" max="6"/>
    <col width="15" customWidth="1" min="7" max="7"/>
  </cols>
  <sheetData>
    <row r="1">
      <c r="A1" s="1" t="inlineStr">
        <is>
          <t>Proiectant: SC PLANTERV STUDIO SRL</t>
        </is>
      </c>
    </row>
    <row r="2">
      <c r="A2" s="1" t="inlineStr">
        <is>
          <t>Adresa: Cristuru Secuiesc, jud. Harghita</t>
        </is>
      </c>
    </row>
    <row r="3">
      <c r="A3" s="1" t="inlineStr">
        <is>
          <t>Cod Unic de Înregistrare: RO12345678</t>
        </is>
      </c>
    </row>
    <row r="4">
      <c r="A4" s="1" t="inlineStr">
        <is>
          <t>Numărul de înregistrare: J19/123/2020</t>
        </is>
      </c>
    </row>
    <row r="5">
      <c r="A5" s="2" t="inlineStr">
        <is>
          <t>DEVIZ GENERAL</t>
        </is>
      </c>
    </row>
    <row r="6">
      <c r="A6" s="3" t="inlineStr">
        <is>
          <t>al obiectivului de investiții: Extindere fabrică de procesare lapte</t>
        </is>
      </c>
    </row>
    <row r="8">
      <c r="A8" s="4" t="inlineStr">
        <is>
          <t>Nr. crt.</t>
        </is>
      </c>
      <c r="B8" s="5" t="inlineStr">
        <is>
          <t>Denumirea capitolelor și subcapitolelor de cheltuieli</t>
        </is>
      </c>
      <c r="C8" s="5" t="inlineStr">
        <is>
          <t>Valoare fără TVA (lei)</t>
        </is>
      </c>
      <c r="D8" s="5" t="inlineStr">
        <is>
          <t>TVA (lei)</t>
        </is>
      </c>
      <c r="E8" s="5" t="inlineStr">
        <is>
          <t>Valoare cu TVA (lei)</t>
        </is>
      </c>
      <c r="F8" s="5" t="inlineStr">
        <is>
          <t>Eligibil (lei)</t>
        </is>
      </c>
      <c r="G8" s="5" t="inlineStr">
        <is>
          <t>Neeligibil (lei)</t>
        </is>
      </c>
    </row>
    <row r="9">
      <c r="A9" s="6" t="inlineStr"/>
      <c r="B9" s="7" t="inlineStr">
        <is>
          <t>CAPITOLUL 1  Cheltuieli pentru obținerea și amenajarea terenului</t>
        </is>
      </c>
      <c r="C9" s="6" t="n"/>
      <c r="D9" s="6" t="n"/>
      <c r="E9" s="6" t="n"/>
      <c r="F9" s="6" t="n"/>
      <c r="G9" s="6" t="n"/>
    </row>
    <row r="10">
      <c r="A10" s="8" t="inlineStr">
        <is>
          <t>1.1</t>
        </is>
      </c>
      <c r="B10" s="9" t="inlineStr">
        <is>
          <t>Obţinerea terenului</t>
        </is>
      </c>
      <c r="C10" s="10" t="n">
        <v>0</v>
      </c>
      <c r="D10" s="11">
        <f>ROUND(C10*'0_IG'!$B$10,2)</f>
        <v/>
      </c>
      <c r="E10" s="11">
        <f>ROUND(C10+D10,2)</f>
        <v/>
      </c>
      <c r="F10" s="11">
        <f>C10</f>
        <v/>
      </c>
      <c r="G10" s="11">
        <f>ROUND(C10-F10,2)</f>
        <v/>
      </c>
    </row>
    <row r="11">
      <c r="A11" s="8" t="inlineStr">
        <is>
          <t>1.2</t>
        </is>
      </c>
      <c r="B11" s="9" t="inlineStr">
        <is>
          <t>Amenajarea terenului</t>
        </is>
      </c>
      <c r="C11" s="10" t="n">
        <v>85000</v>
      </c>
      <c r="D11" s="11">
        <f>ROUND(C11*'0_IG'!$B$10,2)</f>
        <v/>
      </c>
      <c r="E11" s="11">
        <f>ROUND(C11+D11,2)</f>
        <v/>
      </c>
      <c r="F11" s="11">
        <f>C11</f>
        <v/>
      </c>
      <c r="G11" s="11">
        <f>ROUND(C11-F11,2)</f>
        <v/>
      </c>
    </row>
    <row r="12">
      <c r="A12" s="8" t="inlineStr">
        <is>
          <t>1.3</t>
        </is>
      </c>
      <c r="B12" s="9" t="inlineStr">
        <is>
          <t>Amenajări pentru protecţia mediului și aducerea la starea inițială</t>
        </is>
      </c>
      <c r="C12" s="10" t="n">
        <v>40000</v>
      </c>
      <c r="D12" s="11">
        <f>ROUND(C12*'0_IG'!$B$10,2)</f>
        <v/>
      </c>
      <c r="E12" s="11">
        <f>ROUND(C12+D12,2)</f>
        <v/>
      </c>
      <c r="F12" s="11">
        <f>C12</f>
        <v/>
      </c>
      <c r="G12" s="11">
        <f>ROUND(C12-F12,2)</f>
        <v/>
      </c>
    </row>
    <row r="13">
      <c r="A13" s="8" t="inlineStr">
        <is>
          <t>1.4</t>
        </is>
      </c>
      <c r="B13" s="9" t="inlineStr">
        <is>
          <t>Cheltuieli pentru relocarea/protecția utilităților</t>
        </is>
      </c>
      <c r="C13" s="10" t="n">
        <v>0</v>
      </c>
      <c r="D13" s="11">
        <f>ROUND(C13*'0_IG'!$B$10,2)</f>
        <v/>
      </c>
      <c r="E13" s="11">
        <f>ROUND(C13+D13,2)</f>
        <v/>
      </c>
      <c r="F13" s="11">
        <f>C13</f>
        <v/>
      </c>
      <c r="G13" s="11">
        <f>ROUND(C13-F13,2)</f>
        <v/>
      </c>
    </row>
    <row r="14">
      <c r="A14" s="12" t="n"/>
      <c r="B14" s="13" t="inlineStr">
        <is>
          <t>Total capitol 1</t>
        </is>
      </c>
      <c r="C14" s="14">
        <f>SUM(C10:C13)</f>
        <v/>
      </c>
      <c r="D14" s="14">
        <f>SUM(D10:D13)</f>
        <v/>
      </c>
      <c r="E14" s="14">
        <f>SUM(E10:E13)</f>
        <v/>
      </c>
      <c r="F14" s="14">
        <f>SUM(F10:F13)</f>
        <v/>
      </c>
      <c r="G14" s="14">
        <f>SUM(G10:G13)</f>
        <v/>
      </c>
    </row>
    <row r="15">
      <c r="A15" s="6" t="inlineStr"/>
      <c r="B15" s="7" t="inlineStr">
        <is>
          <t>CAPITOLUL 2  Cheltuieli pentru asigurarea utilităților necesare obiectivului</t>
        </is>
      </c>
      <c r="C15" s="6" t="n"/>
      <c r="D15" s="6" t="n"/>
      <c r="E15" s="6" t="n"/>
      <c r="F15" s="6" t="n"/>
      <c r="G15" s="6" t="n"/>
    </row>
    <row r="16">
      <c r="A16" s="8" t="inlineStr">
        <is>
          <t>2.1</t>
        </is>
      </c>
      <c r="B16" s="9" t="inlineStr">
        <is>
          <t>Cheltuieli pentru asigurarea utilităților necesare obiectivului</t>
        </is>
      </c>
      <c r="C16" s="10" t="n">
        <v>220000</v>
      </c>
      <c r="D16" s="11">
        <f>ROUND(C16*'0_IG'!$B$10,2)</f>
        <v/>
      </c>
      <c r="E16" s="11">
        <f>ROUND(C16+D16,2)</f>
        <v/>
      </c>
      <c r="F16" s="11">
        <f>C16</f>
        <v/>
      </c>
      <c r="G16" s="11">
        <f>ROUND(C16-F16,2)</f>
        <v/>
      </c>
    </row>
    <row r="17">
      <c r="A17" s="12" t="n"/>
      <c r="B17" s="13" t="inlineStr">
        <is>
          <t>Total capitol 2</t>
        </is>
      </c>
      <c r="C17" s="14">
        <f>SUM(C16:C16)</f>
        <v/>
      </c>
      <c r="D17" s="14">
        <f>SUM(D16:D16)</f>
        <v/>
      </c>
      <c r="E17" s="14">
        <f>SUM(E16:E16)</f>
        <v/>
      </c>
      <c r="F17" s="14">
        <f>SUM(F16:F16)</f>
        <v/>
      </c>
      <c r="G17" s="14">
        <f>SUM(G16:G16)</f>
        <v/>
      </c>
    </row>
    <row r="18">
      <c r="A18" s="6" t="inlineStr"/>
      <c r="B18" s="7" t="inlineStr">
        <is>
          <t>CAPITOLUL 3  Cheltuieli pentru proiectare și asistență tehnică</t>
        </is>
      </c>
      <c r="C18" s="6" t="n"/>
      <c r="D18" s="6" t="n"/>
      <c r="E18" s="6" t="n"/>
      <c r="F18" s="6" t="n"/>
      <c r="G18" s="6" t="n"/>
    </row>
    <row r="19">
      <c r="A19" s="8" t="inlineStr">
        <is>
          <t>3.1</t>
        </is>
      </c>
      <c r="B19" s="9" t="inlineStr">
        <is>
          <t>Studii (de teren, de fezabilitate)</t>
        </is>
      </c>
      <c r="C19" s="10" t="n">
        <v>35000</v>
      </c>
      <c r="D19" s="11">
        <f>ROUND(C19*'0_IG'!$B$10,2)</f>
        <v/>
      </c>
      <c r="E19" s="11">
        <f>ROUND(C19+D19,2)</f>
        <v/>
      </c>
      <c r="F19" s="11">
        <f>C19</f>
        <v/>
      </c>
      <c r="G19" s="11">
        <f>ROUND(C19-F19,2)</f>
        <v/>
      </c>
    </row>
    <row r="20">
      <c r="A20" s="8" t="inlineStr">
        <is>
          <t>3.2</t>
        </is>
      </c>
      <c r="B20" s="9" t="inlineStr">
        <is>
          <t>Documentații-suport și cheltuieli pentru obținerea de avize, acorduri, autorizații</t>
        </is>
      </c>
      <c r="C20" s="10" t="n">
        <v>0</v>
      </c>
      <c r="D20" s="11">
        <f>ROUND(C20*'0_IG'!$B$10,2)</f>
        <v/>
      </c>
      <c r="E20" s="11">
        <f>ROUND(C20+D20,2)</f>
        <v/>
      </c>
      <c r="F20" s="11">
        <f>C20</f>
        <v/>
      </c>
      <c r="G20" s="11">
        <f>ROUND(C20-F20,2)</f>
        <v/>
      </c>
    </row>
    <row r="21">
      <c r="A21" s="8" t="inlineStr">
        <is>
          <t>3.3</t>
        </is>
      </c>
      <c r="B21" s="9" t="inlineStr">
        <is>
          <t>Expertiză tehnică</t>
        </is>
      </c>
      <c r="C21" s="10" t="n">
        <v>0</v>
      </c>
      <c r="D21" s="11">
        <f>ROUND(C21*'0_IG'!$B$10,2)</f>
        <v/>
      </c>
      <c r="E21" s="11">
        <f>ROUND(C21+D21,2)</f>
        <v/>
      </c>
      <c r="F21" s="11">
        <f>C21</f>
        <v/>
      </c>
      <c r="G21" s="11">
        <f>ROUND(C21-F21,2)</f>
        <v/>
      </c>
    </row>
    <row r="22">
      <c r="A22" s="8" t="inlineStr">
        <is>
          <t>3.4</t>
        </is>
      </c>
      <c r="B22" s="9" t="inlineStr">
        <is>
          <t>Certificarea performanței energetice și auditul energetic al clădirilor</t>
        </is>
      </c>
      <c r="C22" s="10" t="n">
        <v>0</v>
      </c>
      <c r="D22" s="11">
        <f>ROUND(C22*'0_IG'!$B$10,2)</f>
        <v/>
      </c>
      <c r="E22" s="11">
        <f>ROUND(C22+D22,2)</f>
        <v/>
      </c>
      <c r="F22" s="11">
        <f>C22</f>
        <v/>
      </c>
      <c r="G22" s="11">
        <f>ROUND(C22-F22,2)</f>
        <v/>
      </c>
    </row>
    <row r="23">
      <c r="A23" s="8" t="inlineStr">
        <is>
          <t>3.5</t>
        </is>
      </c>
      <c r="B23" s="9" t="inlineStr">
        <is>
          <t>Proiectare (PT + detalii de execuție)</t>
        </is>
      </c>
      <c r="C23" s="10" t="n">
        <v>180000</v>
      </c>
      <c r="D23" s="11">
        <f>ROUND(C23*'0_IG'!$B$10,2)</f>
        <v/>
      </c>
      <c r="E23" s="11">
        <f>ROUND(C23+D23,2)</f>
        <v/>
      </c>
      <c r="F23" s="11">
        <f>C23</f>
        <v/>
      </c>
      <c r="G23" s="11">
        <f>ROUND(C23-F23,2)</f>
        <v/>
      </c>
    </row>
    <row r="24">
      <c r="A24" s="8" t="inlineStr">
        <is>
          <t>3.6</t>
        </is>
      </c>
      <c r="B24" s="9" t="inlineStr">
        <is>
          <t>Organizarea procedurilor de achiziție</t>
        </is>
      </c>
      <c r="C24" s="10" t="n">
        <v>0</v>
      </c>
      <c r="D24" s="11">
        <f>ROUND(C24*'0_IG'!$B$10,2)</f>
        <v/>
      </c>
      <c r="E24" s="11">
        <f>ROUND(C24+D24,2)</f>
        <v/>
      </c>
      <c r="F24" s="11">
        <f>C24</f>
        <v/>
      </c>
      <c r="G24" s="11">
        <f>ROUND(C24-F24,2)</f>
        <v/>
      </c>
    </row>
    <row r="25">
      <c r="A25" s="8" t="inlineStr">
        <is>
          <t>3.7</t>
        </is>
      </c>
      <c r="B25" s="9" t="inlineStr">
        <is>
          <t>Consultanță (management proiect + audit financiar)</t>
        </is>
      </c>
      <c r="C25" s="10" t="n">
        <v>120000</v>
      </c>
      <c r="D25" s="11">
        <f>ROUND(C25*'0_IG'!$B$10,2)</f>
        <v/>
      </c>
      <c r="E25" s="11">
        <f>ROUND(C25+D25,2)</f>
        <v/>
      </c>
      <c r="F25" s="11">
        <f>C25</f>
        <v/>
      </c>
      <c r="G25" s="11">
        <f>ROUND(C25-F25,2)</f>
        <v/>
      </c>
    </row>
    <row r="26">
      <c r="A26" s="8" t="inlineStr">
        <is>
          <t>3.8</t>
        </is>
      </c>
      <c r="B26" s="9" t="inlineStr">
        <is>
          <t>Asistență tehnică (proiectant + dirigenție de șantier)</t>
        </is>
      </c>
      <c r="C26" s="10" t="n">
        <v>0</v>
      </c>
      <c r="D26" s="11">
        <f>ROUND(C26*'0_IG'!$B$10,2)</f>
        <v/>
      </c>
      <c r="E26" s="11">
        <f>ROUND(C26+D26,2)</f>
        <v/>
      </c>
      <c r="F26" s="11">
        <f>C26</f>
        <v/>
      </c>
      <c r="G26" s="11">
        <f>ROUND(C26-F26,2)</f>
        <v/>
      </c>
    </row>
    <row r="27">
      <c r="A27" s="12" t="n"/>
      <c r="B27" s="13" t="inlineStr">
        <is>
          <t>Total capitol 3</t>
        </is>
      </c>
      <c r="C27" s="14">
        <f>SUM(C19:C26)</f>
        <v/>
      </c>
      <c r="D27" s="14">
        <f>SUM(D19:D26)</f>
        <v/>
      </c>
      <c r="E27" s="14">
        <f>SUM(E19:E26)</f>
        <v/>
      </c>
      <c r="F27" s="14">
        <f>SUM(F19:F26)</f>
        <v/>
      </c>
      <c r="G27" s="14">
        <f>SUM(G19:G26)</f>
        <v/>
      </c>
    </row>
    <row r="28">
      <c r="A28" s="6" t="inlineStr"/>
      <c r="B28" s="7" t="inlineStr">
        <is>
          <t>CAPITOLUL 4  Cheltuieli pentru investiția de bază</t>
        </is>
      </c>
      <c r="C28" s="6" t="n"/>
      <c r="D28" s="6" t="n"/>
      <c r="E28" s="6" t="n"/>
      <c r="F28" s="6" t="n"/>
      <c r="G28" s="6" t="n"/>
    </row>
    <row r="29">
      <c r="A29" s="8" t="inlineStr">
        <is>
          <t>4.1</t>
        </is>
      </c>
      <c r="B29" s="9" t="inlineStr">
        <is>
          <t>Construcții și instalații</t>
        </is>
      </c>
      <c r="C29" s="11">
        <f>'5_DO1'!C18</f>
        <v/>
      </c>
      <c r="D29" s="11">
        <f>ROUND(C29*'0_IG'!$B$10,2)</f>
        <v/>
      </c>
      <c r="E29" s="11">
        <f>ROUND(C29+D29,2)</f>
        <v/>
      </c>
      <c r="F29" s="11">
        <f>C29</f>
        <v/>
      </c>
      <c r="G29" s="11">
        <f>ROUND(C29-F29,2)</f>
        <v/>
      </c>
    </row>
    <row r="30">
      <c r="A30" s="8" t="inlineStr">
        <is>
          <t>4.2</t>
        </is>
      </c>
      <c r="B30" s="9" t="inlineStr">
        <is>
          <t>Montaj utilaje, echipamente tehnologice și funcționale</t>
        </is>
      </c>
      <c r="C30" s="11">
        <f>'5_DO1'!C20</f>
        <v/>
      </c>
      <c r="D30" s="11">
        <f>ROUND(C30*'0_IG'!$B$10,2)</f>
        <v/>
      </c>
      <c r="E30" s="11">
        <f>ROUND(C30+D30,2)</f>
        <v/>
      </c>
      <c r="F30" s="11">
        <f>C30</f>
        <v/>
      </c>
      <c r="G30" s="11">
        <f>ROUND(C30-F30,2)</f>
        <v/>
      </c>
    </row>
    <row r="31">
      <c r="A31" s="8" t="inlineStr">
        <is>
          <t>4.3</t>
        </is>
      </c>
      <c r="B31" s="9" t="inlineStr">
        <is>
          <t>Utilaje, echipamente tehnologice și funcționale care necesită montaj</t>
        </is>
      </c>
      <c r="C31" s="11">
        <f>'5_DO1'!C21</f>
        <v/>
      </c>
      <c r="D31" s="11">
        <f>ROUND(C31*'0_IG'!$B$10,2)</f>
        <v/>
      </c>
      <c r="E31" s="11">
        <f>ROUND(C31+D31,2)</f>
        <v/>
      </c>
      <c r="F31" s="11">
        <f>C31</f>
        <v/>
      </c>
      <c r="G31" s="11">
        <f>ROUND(C31-F31,2)</f>
        <v/>
      </c>
    </row>
    <row r="32">
      <c r="A32" s="8" t="inlineStr">
        <is>
          <t>4.4</t>
        </is>
      </c>
      <c r="B32" s="9" t="inlineStr">
        <is>
          <t>Utilaje, echipamente care nu necesită montaj și echipamente de transport</t>
        </is>
      </c>
      <c r="C32" s="10" t="n">
        <v>0</v>
      </c>
      <c r="D32" s="11">
        <f>ROUND(C32*'0_IG'!$B$10,2)</f>
        <v/>
      </c>
      <c r="E32" s="11">
        <f>ROUND(C32+D32,2)</f>
        <v/>
      </c>
      <c r="F32" s="11">
        <f>C32</f>
        <v/>
      </c>
      <c r="G32" s="11">
        <f>ROUND(C32-F32,2)</f>
        <v/>
      </c>
    </row>
    <row r="33">
      <c r="A33" s="8" t="inlineStr">
        <is>
          <t>4.5</t>
        </is>
      </c>
      <c r="B33" s="9" t="inlineStr">
        <is>
          <t>Dotări</t>
        </is>
      </c>
      <c r="C33" s="11">
        <f>'5_DO1'!C22</f>
        <v/>
      </c>
      <c r="D33" s="11">
        <f>ROUND(C33*'0_IG'!$B$10,2)</f>
        <v/>
      </c>
      <c r="E33" s="11">
        <f>ROUND(C33+D33,2)</f>
        <v/>
      </c>
      <c r="F33" s="11">
        <f>C33</f>
        <v/>
      </c>
      <c r="G33" s="11">
        <f>ROUND(C33-F33,2)</f>
        <v/>
      </c>
    </row>
    <row r="34">
      <c r="A34" s="8" t="inlineStr">
        <is>
          <t>4.6</t>
        </is>
      </c>
      <c r="B34" s="9" t="inlineStr">
        <is>
          <t>Active necorporale</t>
        </is>
      </c>
      <c r="C34" s="10" t="n">
        <v>60000</v>
      </c>
      <c r="D34" s="11">
        <f>ROUND(C34*'0_IG'!$B$10,2)</f>
        <v/>
      </c>
      <c r="E34" s="11">
        <f>ROUND(C34+D34,2)</f>
        <v/>
      </c>
      <c r="F34" s="11">
        <f>C34</f>
        <v/>
      </c>
      <c r="G34" s="11">
        <f>ROUND(C34-F34,2)</f>
        <v/>
      </c>
    </row>
    <row r="35">
      <c r="A35" s="12" t="n"/>
      <c r="B35" s="13" t="inlineStr">
        <is>
          <t>Total capitol 4</t>
        </is>
      </c>
      <c r="C35" s="14">
        <f>SUM(C29:C34)</f>
        <v/>
      </c>
      <c r="D35" s="14">
        <f>SUM(D29:D34)</f>
        <v/>
      </c>
      <c r="E35" s="14">
        <f>SUM(E29:E34)</f>
        <v/>
      </c>
      <c r="F35" s="14">
        <f>SUM(F29:F34)</f>
        <v/>
      </c>
      <c r="G35" s="14">
        <f>SUM(G29:G34)</f>
        <v/>
      </c>
    </row>
    <row r="36">
      <c r="A36" s="6" t="inlineStr"/>
      <c r="B36" s="7" t="inlineStr">
        <is>
          <t>CAPITOLUL 5  Alte cheltuieli</t>
        </is>
      </c>
      <c r="C36" s="6" t="n"/>
      <c r="D36" s="6" t="n"/>
      <c r="E36" s="6" t="n"/>
      <c r="F36" s="6" t="n"/>
      <c r="G36" s="6" t="n"/>
    </row>
    <row r="37">
      <c r="A37" s="8" t="inlineStr">
        <is>
          <t>5.1</t>
        </is>
      </c>
      <c r="B37" s="9" t="inlineStr">
        <is>
          <t>Organizare de şantier</t>
        </is>
      </c>
      <c r="C37" s="10" t="n">
        <v>55000</v>
      </c>
      <c r="D37" s="11">
        <f>ROUND(C37*'0_IG'!$B$10,2)</f>
        <v/>
      </c>
      <c r="E37" s="11">
        <f>ROUND(C37+D37,2)</f>
        <v/>
      </c>
      <c r="F37" s="11">
        <f>C37</f>
        <v/>
      </c>
      <c r="G37" s="11">
        <f>ROUND(C37-F37,2)</f>
        <v/>
      </c>
    </row>
    <row r="38">
      <c r="A38" s="8" t="inlineStr">
        <is>
          <t>5.2</t>
        </is>
      </c>
      <c r="B38" s="9" t="inlineStr">
        <is>
          <t>Comisioane, cote, taxe, costul creditului</t>
        </is>
      </c>
      <c r="C38" s="10" t="n">
        <v>38000</v>
      </c>
      <c r="D38" s="11">
        <f>ROUND(C38*'0_IG'!$B$10,2)</f>
        <v/>
      </c>
      <c r="E38" s="11">
        <f>ROUND(C38+D38,2)</f>
        <v/>
      </c>
      <c r="F38" s="11" t="n">
        <v>0</v>
      </c>
      <c r="G38" s="11">
        <f>ROUND(C38-F38,2)</f>
        <v/>
      </c>
    </row>
    <row r="39">
      <c r="A39" s="8" t="inlineStr">
        <is>
          <t>5.3</t>
        </is>
      </c>
      <c r="B39" s="9" t="inlineStr">
        <is>
          <t>Cheltuieli diverse şi neprevăzute</t>
        </is>
      </c>
      <c r="C39" s="10" t="n">
        <v>180000</v>
      </c>
      <c r="D39" s="11">
        <f>ROUND(C39*'0_IG'!$B$10,2)</f>
        <v/>
      </c>
      <c r="E39" s="11">
        <f>ROUND(C39+D39,2)</f>
        <v/>
      </c>
      <c r="F39" s="11">
        <f>C39</f>
        <v/>
      </c>
      <c r="G39" s="11">
        <f>ROUND(C39-F39,2)</f>
        <v/>
      </c>
    </row>
    <row r="40">
      <c r="A40" s="8" t="inlineStr">
        <is>
          <t>5.4</t>
        </is>
      </c>
      <c r="B40" s="9" t="inlineStr">
        <is>
          <t>Cheltuieli pentru informare și publicitate</t>
        </is>
      </c>
      <c r="C40" s="10" t="n">
        <v>12000</v>
      </c>
      <c r="D40" s="11">
        <f>ROUND(C40*'0_IG'!$B$10,2)</f>
        <v/>
      </c>
      <c r="E40" s="11">
        <f>ROUND(C40+D40,2)</f>
        <v/>
      </c>
      <c r="F40" s="11">
        <f>C40</f>
        <v/>
      </c>
      <c r="G40" s="11">
        <f>ROUND(C40-F40,2)</f>
        <v/>
      </c>
    </row>
    <row r="41">
      <c r="A41" s="12" t="n"/>
      <c r="B41" s="13" t="inlineStr">
        <is>
          <t>Total capitol 5</t>
        </is>
      </c>
      <c r="C41" s="14">
        <f>SUM(C37:C40)</f>
        <v/>
      </c>
      <c r="D41" s="14">
        <f>SUM(D37:D40)</f>
        <v/>
      </c>
      <c r="E41" s="14">
        <f>SUM(E37:E40)</f>
        <v/>
      </c>
      <c r="F41" s="14">
        <f>SUM(F37:F40)</f>
        <v/>
      </c>
      <c r="G41" s="14">
        <f>SUM(G37:G40)</f>
        <v/>
      </c>
    </row>
    <row r="42">
      <c r="A42" s="6" t="inlineStr"/>
      <c r="B42" s="7" t="inlineStr">
        <is>
          <t>CAPITOLUL 6  Cheltuieli pentru probe tehnologice și teste</t>
        </is>
      </c>
      <c r="C42" s="6" t="n"/>
      <c r="D42" s="6" t="n"/>
      <c r="E42" s="6" t="n"/>
      <c r="F42" s="6" t="n"/>
      <c r="G42" s="6" t="n"/>
    </row>
    <row r="43">
      <c r="A43" s="8" t="inlineStr">
        <is>
          <t>6.1</t>
        </is>
      </c>
      <c r="B43" s="9" t="inlineStr">
        <is>
          <t>Pregătirea personalului de exploatare</t>
        </is>
      </c>
      <c r="C43" s="10" t="n">
        <v>0</v>
      </c>
      <c r="D43" s="11">
        <f>ROUND(C43*'0_IG'!$B$10,2)</f>
        <v/>
      </c>
      <c r="E43" s="11">
        <f>ROUND(C43+D43,2)</f>
        <v/>
      </c>
      <c r="F43" s="11">
        <f>C43</f>
        <v/>
      </c>
      <c r="G43" s="11">
        <f>ROUND(C43-F43,2)</f>
        <v/>
      </c>
    </row>
    <row r="44">
      <c r="A44" s="8" t="inlineStr">
        <is>
          <t>6.2</t>
        </is>
      </c>
      <c r="B44" s="9" t="inlineStr">
        <is>
          <t>Probe tehnologice și teste</t>
        </is>
      </c>
      <c r="C44" s="10" t="n">
        <v>25000</v>
      </c>
      <c r="D44" s="11">
        <f>ROUND(C44*'0_IG'!$B$10,2)</f>
        <v/>
      </c>
      <c r="E44" s="11">
        <f>ROUND(C44+D44,2)</f>
        <v/>
      </c>
      <c r="F44" s="11">
        <f>C44</f>
        <v/>
      </c>
      <c r="G44" s="11">
        <f>ROUND(C44-F44,2)</f>
        <v/>
      </c>
    </row>
    <row r="45">
      <c r="A45" s="12" t="n"/>
      <c r="B45" s="13" t="inlineStr">
        <is>
          <t>Total capitol 6</t>
        </is>
      </c>
      <c r="C45" s="14">
        <f>SUM(C43:C44)</f>
        <v/>
      </c>
      <c r="D45" s="14">
        <f>SUM(D43:D44)</f>
        <v/>
      </c>
      <c r="E45" s="14">
        <f>SUM(E43:E44)</f>
        <v/>
      </c>
      <c r="F45" s="14">
        <f>SUM(F43:F44)</f>
        <v/>
      </c>
      <c r="G45" s="14">
        <f>SUM(G43:G44)</f>
        <v/>
      </c>
    </row>
    <row r="46">
      <c r="A46" s="6" t="inlineStr"/>
      <c r="B46" s="7" t="inlineStr">
        <is>
          <t>CAPITOLUL 7  Cheltuieli pentru audit</t>
        </is>
      </c>
      <c r="C46" s="6" t="n"/>
      <c r="D46" s="6" t="n"/>
      <c r="E46" s="6" t="n"/>
      <c r="F46" s="6" t="n"/>
      <c r="G46" s="6" t="n"/>
    </row>
    <row r="47">
      <c r="A47" s="8" t="inlineStr">
        <is>
          <t>7.1</t>
        </is>
      </c>
      <c r="B47" s="9" t="inlineStr">
        <is>
          <t>Auditul proiectului</t>
        </is>
      </c>
      <c r="C47" s="10" t="n">
        <v>30000</v>
      </c>
      <c r="D47" s="11">
        <f>ROUND(C47*'0_IG'!$B$10,2)</f>
        <v/>
      </c>
      <c r="E47" s="11">
        <f>ROUND(C47+D47,2)</f>
        <v/>
      </c>
      <c r="F47" s="11">
        <f>C47</f>
        <v/>
      </c>
      <c r="G47" s="11">
        <f>ROUND(C47-F47,2)</f>
        <v/>
      </c>
    </row>
    <row r="48">
      <c r="A48" s="8" t="inlineStr">
        <is>
          <t>7.2</t>
        </is>
      </c>
      <c r="B48" s="9" t="inlineStr">
        <is>
          <t>Alte cheltuieli</t>
        </is>
      </c>
      <c r="C48" s="10" t="n">
        <v>0</v>
      </c>
      <c r="D48" s="11">
        <f>ROUND(C48*'0_IG'!$B$10,2)</f>
        <v/>
      </c>
      <c r="E48" s="11">
        <f>ROUND(C48+D48,2)</f>
        <v/>
      </c>
      <c r="F48" s="11">
        <f>C48</f>
        <v/>
      </c>
      <c r="G48" s="11">
        <f>ROUND(C48-F48,2)</f>
        <v/>
      </c>
    </row>
    <row r="49">
      <c r="A49" s="12" t="n"/>
      <c r="B49" s="13" t="inlineStr">
        <is>
          <t>Total capitol 7</t>
        </is>
      </c>
      <c r="C49" s="14">
        <f>SUM(C47:C48)</f>
        <v/>
      </c>
      <c r="D49" s="14">
        <f>SUM(D47:D48)</f>
        <v/>
      </c>
      <c r="E49" s="14">
        <f>SUM(E47:E48)</f>
        <v/>
      </c>
      <c r="F49" s="14">
        <f>SUM(F47:F48)</f>
        <v/>
      </c>
      <c r="G49" s="14">
        <f>SUM(G47:G48)</f>
        <v/>
      </c>
    </row>
    <row r="50">
      <c r="A50" s="15" t="n"/>
      <c r="B50" s="16" t="inlineStr">
        <is>
          <t>TOTAL GENERAL</t>
        </is>
      </c>
      <c r="C50" s="17">
        <f>C14+C17+C27+C35+C41+C45+C49</f>
        <v/>
      </c>
      <c r="D50" s="17">
        <f>D14+D17+D27+D35+D41+D45+D49</f>
        <v/>
      </c>
      <c r="E50" s="17">
        <f>E14+E17+E27+E35+E41+E45+E49</f>
        <v/>
      </c>
      <c r="F50" s="17">
        <f>F14+F17+F27+F35+F41+F45+F49</f>
        <v/>
      </c>
      <c r="G50" s="17">
        <f>G14+G17+G27+G35+G41+G45+G49</f>
        <v/>
      </c>
    </row>
    <row r="51">
      <c r="B51" s="18" t="inlineStr">
        <is>
          <t>din care C + M (construcții + montaj)</t>
        </is>
      </c>
      <c r="C51" s="19">
        <f>C11+C12+C16+C29+C30+C37</f>
        <v/>
      </c>
    </row>
  </sheetData>
  <mergeCells count="6">
    <mergeCell ref="A1:D1"/>
    <mergeCell ref="A5:D5"/>
    <mergeCell ref="A4:D4"/>
    <mergeCell ref="A3:D3"/>
    <mergeCell ref="A2:D2"/>
    <mergeCell ref="A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3" t="inlineStr">
        <is>
          <t>INFORMAȚII GENERALE PROIECT</t>
        </is>
      </c>
      <c r="B1" s="1" t="inlineStr"/>
    </row>
    <row r="2">
      <c r="A2" s="1" t="inlineStr">
        <is>
          <t>Denumire obiectiv:</t>
        </is>
      </c>
      <c r="B2" s="1" t="inlineStr">
        <is>
          <t>Extindere fabrică de procesare lapte</t>
        </is>
      </c>
    </row>
    <row r="3">
      <c r="A3" s="1" t="inlineStr">
        <is>
          <t>Beneficiar:</t>
        </is>
      </c>
      <c r="B3" s="1" t="inlineStr">
        <is>
          <t>SC NAPSUGÁR TEJÜZEM SRL</t>
        </is>
      </c>
    </row>
    <row r="4">
      <c r="A4" s="1" t="inlineStr">
        <is>
          <t>Proiectant:</t>
        </is>
      </c>
      <c r="B4" s="1" t="inlineStr">
        <is>
          <t>SC PLANTERV STUDIO SRL</t>
        </is>
      </c>
    </row>
    <row r="5">
      <c r="A5" s="1" t="inlineStr">
        <is>
          <t>Adresa proiectant:</t>
        </is>
      </c>
      <c r="B5" s="1" t="inlineStr">
        <is>
          <t>Cristuru Secuiesc, jud. Harghita</t>
        </is>
      </c>
    </row>
    <row r="6">
      <c r="A6" s="1" t="inlineStr">
        <is>
          <t>CUI:</t>
        </is>
      </c>
      <c r="B6" s="1" t="inlineStr">
        <is>
          <t>RO12345678</t>
        </is>
      </c>
    </row>
    <row r="7">
      <c r="A7" s="1" t="inlineStr">
        <is>
          <t>Nr. înregistrare:</t>
        </is>
      </c>
      <c r="B7" s="1" t="inlineStr">
        <is>
          <t>J19/123/2020</t>
        </is>
      </c>
    </row>
    <row r="8">
      <c r="A8" s="1" t="inlineStr">
        <is>
          <t>Localitate:</t>
        </is>
      </c>
      <c r="B8" s="1" t="inlineStr">
        <is>
          <t>Cristuru Secuiesc, jud. Harghita</t>
        </is>
      </c>
    </row>
    <row r="9">
      <c r="A9" s="1" t="inlineStr">
        <is>
          <t>Data:</t>
        </is>
      </c>
      <c r="B9" s="1" t="inlineStr">
        <is>
          <t>2026-06-30</t>
        </is>
      </c>
    </row>
    <row r="10">
      <c r="A10" s="1" t="inlineStr">
        <is>
          <t>Cota TVA:</t>
        </is>
      </c>
      <c r="B10" s="20" t="n">
        <v>0.19</v>
      </c>
    </row>
    <row r="11">
      <c r="A11" s="1" t="inlineStr">
        <is>
          <t>Curs EUR (lei):</t>
        </is>
      </c>
      <c r="B11" s="20" t="n">
        <v>4.97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</cols>
  <sheetData>
    <row r="1">
      <c r="A1" s="2" t="inlineStr">
        <is>
          <t>DEVIZUL OBIECTULUI (DO1): Construcții, montaj, utilaje, dotări</t>
        </is>
      </c>
    </row>
    <row r="3">
      <c r="A3" s="4" t="inlineStr">
        <is>
          <t>Nr. / cod</t>
        </is>
      </c>
      <c r="B3" s="4" t="inlineStr">
        <is>
          <t>Obiect / Categorie de lucrări</t>
        </is>
      </c>
      <c r="C3" s="4" t="inlineStr">
        <is>
          <t>Valoare fără TVA (lei)</t>
        </is>
      </c>
    </row>
    <row r="4">
      <c r="A4" s="21" t="inlineStr">
        <is>
          <t>4.1.1</t>
        </is>
      </c>
      <c r="B4" s="22" t="inlineStr">
        <is>
          <t>Hala de procesare lapte</t>
        </is>
      </c>
      <c r="C4" s="23">
        <f>SUM(C5:C7)</f>
        <v/>
      </c>
    </row>
    <row r="5">
      <c r="A5" s="21" t="inlineStr">
        <is>
          <t>4.1.1.1</t>
        </is>
      </c>
      <c r="B5" s="9" t="inlineStr">
        <is>
          <t xml:space="preserve">   Rezistență</t>
        </is>
      </c>
      <c r="C5" s="10" t="n">
        <v>1200000</v>
      </c>
    </row>
    <row r="6">
      <c r="A6" s="21" t="inlineStr">
        <is>
          <t>4.1.1.2</t>
        </is>
      </c>
      <c r="B6" s="9" t="inlineStr">
        <is>
          <t xml:space="preserve">   Arhitectură</t>
        </is>
      </c>
      <c r="C6" s="10" t="n">
        <v>650000</v>
      </c>
    </row>
    <row r="7">
      <c r="A7" s="21" t="inlineStr">
        <is>
          <t>4.1.1.3</t>
        </is>
      </c>
      <c r="B7" s="9" t="inlineStr">
        <is>
          <t xml:space="preserve">   Instalații (electrice, sanitare, termice)</t>
        </is>
      </c>
      <c r="C7" s="10" t="n">
        <v>480000</v>
      </c>
    </row>
    <row r="8">
      <c r="A8" s="21" t="inlineStr">
        <is>
          <t>4.1.2</t>
        </is>
      </c>
      <c r="B8" s="22" t="inlineStr">
        <is>
          <t>Depozit frigorific</t>
        </is>
      </c>
      <c r="C8" s="23">
        <f>SUM(C9:C11)</f>
        <v/>
      </c>
    </row>
    <row r="9">
      <c r="A9" s="21" t="inlineStr">
        <is>
          <t>4.1.2.1</t>
        </is>
      </c>
      <c r="B9" s="9" t="inlineStr">
        <is>
          <t xml:space="preserve">   Rezistență</t>
        </is>
      </c>
      <c r="C9" s="10" t="n">
        <v>240000</v>
      </c>
    </row>
    <row r="10">
      <c r="A10" s="21" t="inlineStr">
        <is>
          <t>4.1.2.2</t>
        </is>
      </c>
      <c r="B10" s="9" t="inlineStr">
        <is>
          <t xml:space="preserve">   Arhitectură (panouri frigorifice)</t>
        </is>
      </c>
      <c r="C10" s="10" t="n">
        <v>90000</v>
      </c>
    </row>
    <row r="11">
      <c r="A11" s="21" t="inlineStr">
        <is>
          <t>4.1.2.3</t>
        </is>
      </c>
      <c r="B11" s="9" t="inlineStr">
        <is>
          <t xml:space="preserve">   Instalații (electrice, răcire)</t>
        </is>
      </c>
      <c r="C11" s="10" t="n">
        <v>50000</v>
      </c>
    </row>
    <row r="12">
      <c r="A12" s="21" t="inlineStr">
        <is>
          <t>4.1.3</t>
        </is>
      </c>
      <c r="B12" s="22" t="inlineStr">
        <is>
          <t>Centrală termică</t>
        </is>
      </c>
      <c r="C12" s="23">
        <f>SUM(C13:C14)</f>
        <v/>
      </c>
    </row>
    <row r="13">
      <c r="A13" s="21" t="inlineStr">
        <is>
          <t>4.1.3.1</t>
        </is>
      </c>
      <c r="B13" s="9" t="inlineStr">
        <is>
          <t xml:space="preserve">   Construcții</t>
        </is>
      </c>
      <c r="C13" s="10" t="n">
        <v>150000</v>
      </c>
    </row>
    <row r="14">
      <c r="A14" s="21" t="inlineStr">
        <is>
          <t>4.1.3.2</t>
        </is>
      </c>
      <c r="B14" s="9" t="inlineStr">
        <is>
          <t xml:space="preserve">   Instalații (termice, automatizare)</t>
        </is>
      </c>
      <c r="C14" s="10" t="n">
        <v>120000</v>
      </c>
    </row>
    <row r="15">
      <c r="A15" s="21" t="inlineStr">
        <is>
          <t>4.1.4</t>
        </is>
      </c>
      <c r="B15" s="22" t="inlineStr">
        <is>
          <t>Amenajări exterioare</t>
        </is>
      </c>
      <c r="C15" s="23">
        <f>SUM(C16:C16)</f>
        <v/>
      </c>
    </row>
    <row r="16">
      <c r="A16" s="21" t="inlineStr">
        <is>
          <t>4.1.4.1</t>
        </is>
      </c>
      <c r="B16" s="9" t="inlineStr">
        <is>
          <t xml:space="preserve">   Alei carosabile și platforme betonate</t>
        </is>
      </c>
      <c r="C16" s="10" t="n">
        <v>210000</v>
      </c>
    </row>
    <row r="18">
      <c r="B18" s="3" t="inlineStr">
        <is>
          <t>TOTAL Construcții și instalații (cap. 4.1)</t>
        </is>
      </c>
      <c r="C18" s="24">
        <f>C4+C8+C12+C15</f>
        <v/>
      </c>
    </row>
    <row r="20">
      <c r="A20" s="1" t="inlineStr">
        <is>
          <t>4.2</t>
        </is>
      </c>
      <c r="B20" s="25" t="inlineStr">
        <is>
          <t>Montaj utilaje, echipamente</t>
        </is>
      </c>
      <c r="C20" s="26" t="n">
        <v>95000</v>
      </c>
    </row>
    <row r="21">
      <c r="A21" s="1" t="inlineStr">
        <is>
          <t>4.3</t>
        </is>
      </c>
      <c r="B21" s="25" t="inlineStr">
        <is>
          <t>Utilaje, echipamente tehnologice (cu montaj)</t>
        </is>
      </c>
      <c r="C21" s="26" t="n">
        <v>1850000</v>
      </c>
    </row>
    <row r="22">
      <c r="A22" s="1" t="inlineStr">
        <is>
          <t>4.5</t>
        </is>
      </c>
      <c r="B22" s="25" t="inlineStr">
        <is>
          <t>Dotări (mobilier laborator, echip. IT)</t>
        </is>
      </c>
      <c r="C22" s="26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2026-07-02T05:52:25Z</dcterms:created>
  <dcterms:modified xmlns:dcterms="http://purl.org/dc/terms/" xmlns:xsi="http://www.w3.org/2001/XMLSchema-instance" xsi:type="dcterms:W3CDTF">2026-07-02T05:52:25Z</dcterms:modified>
</cp:coreProperties>
</file>