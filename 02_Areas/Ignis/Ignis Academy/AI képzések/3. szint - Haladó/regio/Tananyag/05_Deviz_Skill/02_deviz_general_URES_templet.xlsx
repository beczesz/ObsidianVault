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G" sheetId="1" state="visible" r:id="rId1"/>
    <sheet xmlns:r="http://schemas.openxmlformats.org/officeDocument/2006/relationships" name="0_IG" sheetId="2" state="visible" r:id="rId2"/>
    <sheet xmlns:r="http://schemas.openxmlformats.org/officeDocument/2006/relationships" name="5_DO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2" borderId="1" applyProtection="1" pivotButton="0" quotePrefix="0" xfId="0">
      <protection locked="0" hidden="0"/>
    </xf>
    <xf numFmtId="4" fontId="0" fillId="0" borderId="1" pivotButton="0" quotePrefix="0" xfId="0"/>
    <xf numFmtId="0" fontId="0" fillId="5" borderId="1" pivotButton="0" quotePrefix="0" xfId="0"/>
    <xf numFmtId="0" fontId="2" fillId="5" borderId="1" pivotButton="0" quotePrefix="0" xfId="0"/>
    <xf numFmtId="4" fontId="2" fillId="5" borderId="1" pivotButton="0" quotePrefix="0" xfId="0"/>
    <xf numFmtId="0" fontId="0" fillId="6" borderId="1" pivotButton="0" quotePrefix="0" xfId="0"/>
    <xf numFmtId="0" fontId="5" fillId="6" borderId="1" pivotButton="0" quotePrefix="0" xfId="0"/>
    <xf numFmtId="4" fontId="2" fillId="6" borderId="1" pivotButton="0" quotePrefix="0" xfId="0"/>
    <xf numFmtId="0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1" fillId="0" borderId="0" pivotButton="0" quotePrefix="0" xfId="0"/>
    <xf numFmtId="0" fontId="0" fillId="2" borderId="1" applyProtection="1" pivotButton="0" quotePrefix="0" xfId="0">
      <protection locked="0" hidden="0"/>
    </xf>
    <xf numFmtId="9" fontId="0" fillId="2" borderId="1" applyProtection="1" pivotButton="0" quotePrefix="0" xfId="0">
      <protection locked="0" hidden="0"/>
    </xf>
    <xf numFmtId="0" fontId="0" fillId="4" borderId="1" applyAlignment="1" pivotButton="0" quotePrefix="0" xfId="0">
      <alignment horizontal="center" vertical="center" wrapText="1"/>
    </xf>
    <xf numFmtId="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DEVIZ GENERAL</t>
        </is>
      </c>
    </row>
    <row r="2">
      <c r="A2" t="inlineStr">
        <is>
          <t>privind cheltuielile necesare realizării obiectivului de investiții:</t>
        </is>
      </c>
    </row>
    <row r="3">
      <c r="A3" s="2">
        <f>'0_IG'!B3</f>
        <v/>
      </c>
    </row>
    <row r="6">
      <c r="A6" s="3" t="inlineStr">
        <is>
          <t>Nr. crt.</t>
        </is>
      </c>
      <c r="B6" s="3" t="inlineStr">
        <is>
          <t>Denumirea capitolelor și subcapitolelor de cheltuieli</t>
        </is>
      </c>
      <c r="C6" s="3" t="inlineStr">
        <is>
          <t>Valoare fără TVA (lei)</t>
        </is>
      </c>
      <c r="D6" s="3" t="inlineStr">
        <is>
          <t>TVA (lei)</t>
        </is>
      </c>
      <c r="E6" s="3" t="inlineStr">
        <is>
          <t>Valoare cu TVA (lei)</t>
        </is>
      </c>
      <c r="F6" s="3" t="inlineStr">
        <is>
          <t>Eligibil (lei)</t>
        </is>
      </c>
      <c r="G6" s="3" t="inlineStr">
        <is>
          <t>Neeligibil (lei)</t>
        </is>
      </c>
    </row>
    <row r="7">
      <c r="A7" s="4" t="inlineStr">
        <is>
          <t>CAPITOLUL 1</t>
        </is>
      </c>
      <c r="B7" s="4" t="inlineStr">
        <is>
          <t>Cheltuieli pentru obținerea și amenajarea terenului</t>
        </is>
      </c>
      <c r="C7" s="5" t="n"/>
      <c r="D7" s="5" t="n"/>
      <c r="E7" s="5" t="n"/>
      <c r="F7" s="5" t="n"/>
      <c r="G7" s="5" t="n"/>
    </row>
    <row r="8">
      <c r="A8" s="6" t="inlineStr">
        <is>
          <t>1.2</t>
        </is>
      </c>
      <c r="B8" s="7" t="inlineStr">
        <is>
          <t>Amenajarea terenului</t>
        </is>
      </c>
      <c r="C8" s="8" t="n"/>
      <c r="D8" s="9">
        <f>ROUND(C8*'0_IG'!$B$9,2)</f>
        <v/>
      </c>
      <c r="E8" s="9">
        <f>ROUND(C8+D8,2)</f>
        <v/>
      </c>
      <c r="F8" s="9">
        <f>C8</f>
        <v/>
      </c>
      <c r="G8" s="9">
        <f>ROUND(C8-F8,2)</f>
        <v/>
      </c>
    </row>
    <row r="9">
      <c r="A9" s="6" t="inlineStr">
        <is>
          <t>1.3</t>
        </is>
      </c>
      <c r="B9" s="7" t="inlineStr">
        <is>
          <t>Amenajări pentru protecția mediului</t>
        </is>
      </c>
      <c r="C9" s="8" t="n"/>
      <c r="D9" s="9">
        <f>ROUND(C9*'0_IG'!$B$9,2)</f>
        <v/>
      </c>
      <c r="E9" s="9">
        <f>ROUND(C9+D9,2)</f>
        <v/>
      </c>
      <c r="F9" s="9">
        <f>C9</f>
        <v/>
      </c>
      <c r="G9" s="9">
        <f>ROUND(C9-F9,2)</f>
        <v/>
      </c>
    </row>
    <row r="10">
      <c r="A10" s="10" t="n"/>
      <c r="B10" s="11" t="inlineStr">
        <is>
          <t>Total capitol 1</t>
        </is>
      </c>
      <c r="C10" s="12">
        <f>SUM(C8:C9)</f>
        <v/>
      </c>
      <c r="D10" s="12">
        <f>SUM(D8:D9)</f>
        <v/>
      </c>
      <c r="E10" s="12">
        <f>SUM(E8:E9)</f>
        <v/>
      </c>
      <c r="F10" s="12">
        <f>SUM(F8:F9)</f>
        <v/>
      </c>
      <c r="G10" s="12">
        <f>SUM(G8:G9)</f>
        <v/>
      </c>
    </row>
    <row r="11">
      <c r="A11" s="4" t="inlineStr">
        <is>
          <t>CAPITOLUL 2</t>
        </is>
      </c>
      <c r="B11" s="4" t="inlineStr">
        <is>
          <t>Cheltuieli pentru asigurarea utilităților</t>
        </is>
      </c>
      <c r="C11" s="5" t="n"/>
      <c r="D11" s="5" t="n"/>
      <c r="E11" s="5" t="n"/>
      <c r="F11" s="5" t="n"/>
      <c r="G11" s="5" t="n"/>
    </row>
    <row r="12">
      <c r="A12" s="6" t="inlineStr">
        <is>
          <t>2.1</t>
        </is>
      </c>
      <c r="B12" s="7" t="inlineStr">
        <is>
          <t>Asigurarea utilităților necesare obiectivului</t>
        </is>
      </c>
      <c r="C12" s="8" t="n"/>
      <c r="D12" s="9">
        <f>ROUND(C12*'0_IG'!$B$9,2)</f>
        <v/>
      </c>
      <c r="E12" s="9">
        <f>ROUND(C12+D12,2)</f>
        <v/>
      </c>
      <c r="F12" s="9">
        <f>C12</f>
        <v/>
      </c>
      <c r="G12" s="9">
        <f>ROUND(C12-F12,2)</f>
        <v/>
      </c>
    </row>
    <row r="13">
      <c r="A13" s="10" t="n"/>
      <c r="B13" s="11" t="inlineStr">
        <is>
          <t>Total capitol 2</t>
        </is>
      </c>
      <c r="C13" s="12">
        <f>SUM(C12:C12)</f>
        <v/>
      </c>
      <c r="D13" s="12">
        <f>SUM(D12:D12)</f>
        <v/>
      </c>
      <c r="E13" s="12">
        <f>SUM(E12:E12)</f>
        <v/>
      </c>
      <c r="F13" s="12">
        <f>SUM(F12:F12)</f>
        <v/>
      </c>
      <c r="G13" s="12">
        <f>SUM(G12:G12)</f>
        <v/>
      </c>
    </row>
    <row r="14">
      <c r="A14" s="4" t="inlineStr">
        <is>
          <t>CAPITOLUL 3</t>
        </is>
      </c>
      <c r="B14" s="4" t="inlineStr">
        <is>
          <t>Cheltuieli pentru proiectare și asistență tehnică</t>
        </is>
      </c>
      <c r="C14" s="5" t="n"/>
      <c r="D14" s="5" t="n"/>
      <c r="E14" s="5" t="n"/>
      <c r="F14" s="5" t="n"/>
      <c r="G14" s="5" t="n"/>
    </row>
    <row r="15">
      <c r="A15" s="6" t="inlineStr">
        <is>
          <t>3.1</t>
        </is>
      </c>
      <c r="B15" s="7" t="inlineStr">
        <is>
          <t>Studii (de teren, de fezabilitate)</t>
        </is>
      </c>
      <c r="C15" s="8" t="n"/>
      <c r="D15" s="9">
        <f>ROUND(C15*'0_IG'!$B$9,2)</f>
        <v/>
      </c>
      <c r="E15" s="9">
        <f>ROUND(C15+D15,2)</f>
        <v/>
      </c>
      <c r="F15" s="9">
        <f>C15</f>
        <v/>
      </c>
      <c r="G15" s="9">
        <f>ROUND(C15-F15,2)</f>
        <v/>
      </c>
    </row>
    <row r="16">
      <c r="A16" s="6" t="inlineStr">
        <is>
          <t>3.5</t>
        </is>
      </c>
      <c r="B16" s="7" t="inlineStr">
        <is>
          <t>Proiectare (PT + detalii de execuție)</t>
        </is>
      </c>
      <c r="C16" s="8" t="n"/>
      <c r="D16" s="9">
        <f>ROUND(C16*'0_IG'!$B$9,2)</f>
        <v/>
      </c>
      <c r="E16" s="9">
        <f>ROUND(C16+D16,2)</f>
        <v/>
      </c>
      <c r="F16" s="9">
        <f>C16</f>
        <v/>
      </c>
      <c r="G16" s="9">
        <f>ROUND(C16-F16,2)</f>
        <v/>
      </c>
    </row>
    <row r="17">
      <c r="A17" s="6" t="inlineStr">
        <is>
          <t>3.7</t>
        </is>
      </c>
      <c r="B17" s="7" t="inlineStr">
        <is>
          <t>Consultanță (management proiect + audit)</t>
        </is>
      </c>
      <c r="C17" s="8" t="n"/>
      <c r="D17" s="9">
        <f>ROUND(C17*'0_IG'!$B$9,2)</f>
        <v/>
      </c>
      <c r="E17" s="9">
        <f>ROUND(C17+D17,2)</f>
        <v/>
      </c>
      <c r="F17" s="9">
        <f>C17</f>
        <v/>
      </c>
      <c r="G17" s="9">
        <f>ROUND(C17-F17,2)</f>
        <v/>
      </c>
    </row>
    <row r="18">
      <c r="A18" s="10" t="n"/>
      <c r="B18" s="11" t="inlineStr">
        <is>
          <t>Total capitol 3</t>
        </is>
      </c>
      <c r="C18" s="12">
        <f>SUM(C15:C17)</f>
        <v/>
      </c>
      <c r="D18" s="12">
        <f>SUM(D15:D17)</f>
        <v/>
      </c>
      <c r="E18" s="12">
        <f>SUM(E15:E17)</f>
        <v/>
      </c>
      <c r="F18" s="12">
        <f>SUM(F15:F17)</f>
        <v/>
      </c>
      <c r="G18" s="12">
        <f>SUM(G15:G17)</f>
        <v/>
      </c>
    </row>
    <row r="19">
      <c r="A19" s="4" t="inlineStr">
        <is>
          <t>CAPITOLUL 4</t>
        </is>
      </c>
      <c r="B19" s="4" t="inlineStr">
        <is>
          <t>Cheltuieli pentru investiția de bază</t>
        </is>
      </c>
      <c r="C19" s="5" t="n"/>
      <c r="D19" s="5" t="n"/>
      <c r="E19" s="5" t="n"/>
      <c r="F19" s="5" t="n"/>
      <c r="G19" s="5" t="n"/>
    </row>
    <row r="20">
      <c r="A20" s="6" t="inlineStr">
        <is>
          <t>4.1</t>
        </is>
      </c>
      <c r="B20" s="7" t="inlineStr">
        <is>
          <t>Construcții și instalații</t>
        </is>
      </c>
      <c r="C20" s="9">
        <f>'5_DO1'!C17</f>
        <v/>
      </c>
      <c r="D20" s="9">
        <f>ROUND(C20*'0_IG'!$B$9,2)</f>
        <v/>
      </c>
      <c r="E20" s="9">
        <f>ROUND(C20+D20,2)</f>
        <v/>
      </c>
      <c r="F20" s="9">
        <f>C20</f>
        <v/>
      </c>
      <c r="G20" s="9">
        <f>ROUND(C20-F20,2)</f>
        <v/>
      </c>
    </row>
    <row r="21">
      <c r="A21" s="6" t="inlineStr">
        <is>
          <t>4.2</t>
        </is>
      </c>
      <c r="B21" s="7" t="inlineStr">
        <is>
          <t>Montaj utilaje, echipamente</t>
        </is>
      </c>
      <c r="C21" s="9">
        <f>'5_DO1'!C19</f>
        <v/>
      </c>
      <c r="D21" s="9">
        <f>ROUND(C21*'0_IG'!$B$9,2)</f>
        <v/>
      </c>
      <c r="E21" s="9">
        <f>ROUND(C21+D21,2)</f>
        <v/>
      </c>
      <c r="F21" s="9">
        <f>C21</f>
        <v/>
      </c>
      <c r="G21" s="9">
        <f>ROUND(C21-F21,2)</f>
        <v/>
      </c>
    </row>
    <row r="22">
      <c r="A22" s="6" t="inlineStr">
        <is>
          <t>4.3</t>
        </is>
      </c>
      <c r="B22" s="7" t="inlineStr">
        <is>
          <t>Utilaje, echipamente tehnologice (cu montaj)</t>
        </is>
      </c>
      <c r="C22" s="9">
        <f>'5_DO1'!C20</f>
        <v/>
      </c>
      <c r="D22" s="9">
        <f>ROUND(C22*'0_IG'!$B$9,2)</f>
        <v/>
      </c>
      <c r="E22" s="9">
        <f>ROUND(C22+D22,2)</f>
        <v/>
      </c>
      <c r="F22" s="9">
        <f>C22</f>
        <v/>
      </c>
      <c r="G22" s="9">
        <f>ROUND(C22-F22,2)</f>
        <v/>
      </c>
    </row>
    <row r="23">
      <c r="A23" s="6" t="inlineStr">
        <is>
          <t>4.5</t>
        </is>
      </c>
      <c r="B23" s="7" t="inlineStr">
        <is>
          <t>Dotări</t>
        </is>
      </c>
      <c r="C23" s="9">
        <f>'5_DO1'!C21</f>
        <v/>
      </c>
      <c r="D23" s="9">
        <f>ROUND(C23*'0_IG'!$B$9,2)</f>
        <v/>
      </c>
      <c r="E23" s="9">
        <f>ROUND(C23+D23,2)</f>
        <v/>
      </c>
      <c r="F23" s="9">
        <f>C23</f>
        <v/>
      </c>
      <c r="G23" s="9">
        <f>ROUND(C23-F23,2)</f>
        <v/>
      </c>
    </row>
    <row r="24">
      <c r="A24" s="6" t="inlineStr">
        <is>
          <t>4.6</t>
        </is>
      </c>
      <c r="B24" s="7" t="inlineStr">
        <is>
          <t>Active necorporale</t>
        </is>
      </c>
      <c r="C24" s="8" t="n"/>
      <c r="D24" s="9">
        <f>ROUND(C24*'0_IG'!$B$9,2)</f>
        <v/>
      </c>
      <c r="E24" s="9">
        <f>ROUND(C24+D24,2)</f>
        <v/>
      </c>
      <c r="F24" s="9">
        <f>C24</f>
        <v/>
      </c>
      <c r="G24" s="9">
        <f>ROUND(C24-F24,2)</f>
        <v/>
      </c>
    </row>
    <row r="25">
      <c r="A25" s="10" t="n"/>
      <c r="B25" s="11" t="inlineStr">
        <is>
          <t>Total capitol 4</t>
        </is>
      </c>
      <c r="C25" s="12">
        <f>SUM(C20:C24)</f>
        <v/>
      </c>
      <c r="D25" s="12">
        <f>SUM(D20:D24)</f>
        <v/>
      </c>
      <c r="E25" s="12">
        <f>SUM(E20:E24)</f>
        <v/>
      </c>
      <c r="F25" s="12">
        <f>SUM(F20:F24)</f>
        <v/>
      </c>
      <c r="G25" s="12">
        <f>SUM(G20:G24)</f>
        <v/>
      </c>
    </row>
    <row r="26">
      <c r="A26" s="4" t="inlineStr">
        <is>
          <t>CAPITOLUL 5</t>
        </is>
      </c>
      <c r="B26" s="4" t="inlineStr">
        <is>
          <t>Alte cheltuieli</t>
        </is>
      </c>
      <c r="C26" s="5" t="n"/>
      <c r="D26" s="5" t="n"/>
      <c r="E26" s="5" t="n"/>
      <c r="F26" s="5" t="n"/>
      <c r="G26" s="5" t="n"/>
    </row>
    <row r="27">
      <c r="A27" s="6" t="inlineStr">
        <is>
          <t>5.1</t>
        </is>
      </c>
      <c r="B27" s="7" t="inlineStr">
        <is>
          <t>Organizare de șantier</t>
        </is>
      </c>
      <c r="C27" s="8" t="n"/>
      <c r="D27" s="9">
        <f>ROUND(C27*'0_IG'!$B$9,2)</f>
        <v/>
      </c>
      <c r="E27" s="9">
        <f>ROUND(C27+D27,2)</f>
        <v/>
      </c>
      <c r="F27" s="9">
        <f>C27</f>
        <v/>
      </c>
      <c r="G27" s="9">
        <f>ROUND(C27-F27,2)</f>
        <v/>
      </c>
    </row>
    <row r="28">
      <c r="A28" s="6" t="inlineStr">
        <is>
          <t>5.2</t>
        </is>
      </c>
      <c r="B28" s="7" t="inlineStr">
        <is>
          <t>Comisioane, cote, taxe, costul creditului</t>
        </is>
      </c>
      <c r="C28" s="8" t="n"/>
      <c r="D28" s="9">
        <f>ROUND(C28*'0_IG'!$B$9,2)</f>
        <v/>
      </c>
      <c r="E28" s="9">
        <f>ROUND(C28+D28,2)</f>
        <v/>
      </c>
      <c r="F28" s="9" t="n">
        <v>0</v>
      </c>
      <c r="G28" s="9">
        <f>ROUND(C28-F28,2)</f>
        <v/>
      </c>
    </row>
    <row r="29">
      <c r="A29" s="6" t="inlineStr">
        <is>
          <t>5.3</t>
        </is>
      </c>
      <c r="B29" s="7" t="inlineStr">
        <is>
          <t>Cheltuieli diverse și neprevăzute</t>
        </is>
      </c>
      <c r="C29" s="8" t="n"/>
      <c r="D29" s="9">
        <f>ROUND(C29*'0_IG'!$B$9,2)</f>
        <v/>
      </c>
      <c r="E29" s="9">
        <f>ROUND(C29+D29,2)</f>
        <v/>
      </c>
      <c r="F29" s="9">
        <f>C29</f>
        <v/>
      </c>
      <c r="G29" s="9">
        <f>ROUND(C29-F29,2)</f>
        <v/>
      </c>
    </row>
    <row r="30">
      <c r="A30" s="6" t="inlineStr">
        <is>
          <t>5.4</t>
        </is>
      </c>
      <c r="B30" s="7" t="inlineStr">
        <is>
          <t>Cheltuieli pentru informare și publicitate</t>
        </is>
      </c>
      <c r="C30" s="8" t="n"/>
      <c r="D30" s="9">
        <f>ROUND(C30*'0_IG'!$B$9,2)</f>
        <v/>
      </c>
      <c r="E30" s="9">
        <f>ROUND(C30+D30,2)</f>
        <v/>
      </c>
      <c r="F30" s="9">
        <f>C30</f>
        <v/>
      </c>
      <c r="G30" s="9">
        <f>ROUND(C30-F30,2)</f>
        <v/>
      </c>
    </row>
    <row r="31">
      <c r="A31" s="10" t="n"/>
      <c r="B31" s="11" t="inlineStr">
        <is>
          <t>Total capitol 5</t>
        </is>
      </c>
      <c r="C31" s="12">
        <f>SUM(C27:C30)</f>
        <v/>
      </c>
      <c r="D31" s="12">
        <f>SUM(D27:D30)</f>
        <v/>
      </c>
      <c r="E31" s="12">
        <f>SUM(E27:E30)</f>
        <v/>
      </c>
      <c r="F31" s="12">
        <f>SUM(F27:F30)</f>
        <v/>
      </c>
      <c r="G31" s="12">
        <f>SUM(G27:G30)</f>
        <v/>
      </c>
    </row>
    <row r="32">
      <c r="A32" s="4" t="inlineStr">
        <is>
          <t>CAPITOLUL 6</t>
        </is>
      </c>
      <c r="B32" s="4" t="inlineStr">
        <is>
          <t>Cheltuieli pentru probe tehnologice și teste</t>
        </is>
      </c>
      <c r="C32" s="5" t="n"/>
      <c r="D32" s="5" t="n"/>
      <c r="E32" s="5" t="n"/>
      <c r="F32" s="5" t="n"/>
      <c r="G32" s="5" t="n"/>
    </row>
    <row r="33">
      <c r="A33" s="6" t="inlineStr">
        <is>
          <t>6.2</t>
        </is>
      </c>
      <c r="B33" s="7" t="inlineStr">
        <is>
          <t>Probe tehnologice și teste</t>
        </is>
      </c>
      <c r="C33" s="8" t="n"/>
      <c r="D33" s="9">
        <f>ROUND(C33*'0_IG'!$B$9,2)</f>
        <v/>
      </c>
      <c r="E33" s="9">
        <f>ROUND(C33+D33,2)</f>
        <v/>
      </c>
      <c r="F33" s="9">
        <f>C33</f>
        <v/>
      </c>
      <c r="G33" s="9">
        <f>ROUND(C33-F33,2)</f>
        <v/>
      </c>
    </row>
    <row r="34">
      <c r="A34" s="10" t="n"/>
      <c r="B34" s="11" t="inlineStr">
        <is>
          <t>Total capitol 6</t>
        </is>
      </c>
      <c r="C34" s="12">
        <f>SUM(C33:C33)</f>
        <v/>
      </c>
      <c r="D34" s="12">
        <f>SUM(D33:D33)</f>
        <v/>
      </c>
      <c r="E34" s="12">
        <f>SUM(E33:E33)</f>
        <v/>
      </c>
      <c r="F34" s="12">
        <f>SUM(F33:F33)</f>
        <v/>
      </c>
      <c r="G34" s="12">
        <f>SUM(G33:G33)</f>
        <v/>
      </c>
    </row>
    <row r="35">
      <c r="A35" s="4" t="inlineStr">
        <is>
          <t>CAPITOLUL 7</t>
        </is>
      </c>
      <c r="B35" s="4" t="inlineStr">
        <is>
          <t>Alte cheltuieli (audit)</t>
        </is>
      </c>
      <c r="C35" s="5" t="n"/>
      <c r="D35" s="5" t="n"/>
      <c r="E35" s="5" t="n"/>
      <c r="F35" s="5" t="n"/>
      <c r="G35" s="5" t="n"/>
    </row>
    <row r="36">
      <c r="A36" s="6" t="inlineStr">
        <is>
          <t>7.1</t>
        </is>
      </c>
      <c r="B36" s="7" t="inlineStr">
        <is>
          <t>Auditul proiectului</t>
        </is>
      </c>
      <c r="C36" s="8" t="n"/>
      <c r="D36" s="9">
        <f>ROUND(C36*'0_IG'!$B$9,2)</f>
        <v/>
      </c>
      <c r="E36" s="9">
        <f>ROUND(C36+D36,2)</f>
        <v/>
      </c>
      <c r="F36" s="9">
        <f>C36</f>
        <v/>
      </c>
      <c r="G36" s="9">
        <f>ROUND(C36-F36,2)</f>
        <v/>
      </c>
    </row>
    <row r="37">
      <c r="A37" s="10" t="n"/>
      <c r="B37" s="11" t="inlineStr">
        <is>
          <t>Total capitol 7</t>
        </is>
      </c>
      <c r="C37" s="12">
        <f>SUM(C36:C36)</f>
        <v/>
      </c>
      <c r="D37" s="12">
        <f>SUM(D36:D36)</f>
        <v/>
      </c>
      <c r="E37" s="12">
        <f>SUM(E36:E36)</f>
        <v/>
      </c>
      <c r="F37" s="12">
        <f>SUM(F36:F36)</f>
        <v/>
      </c>
      <c r="G37" s="12">
        <f>SUM(G36:G36)</f>
        <v/>
      </c>
    </row>
    <row r="38">
      <c r="A38" s="13" t="n"/>
      <c r="B38" s="14" t="inlineStr">
        <is>
          <t>TOTAL GENERAL</t>
        </is>
      </c>
      <c r="C38" s="15">
        <f>C10+C13+C18+C25+C31+C34+C37</f>
        <v/>
      </c>
      <c r="D38" s="15">
        <f>D10+D13+D18+D25+D31+D34+D37</f>
        <v/>
      </c>
      <c r="E38" s="15">
        <f>E10+E13+E18+E25+E31+E34+E37</f>
        <v/>
      </c>
      <c r="F38" s="15">
        <f>F10+F13+F18+F25+F31+F34+F37</f>
        <v/>
      </c>
      <c r="G38" s="15">
        <f>G10+G13+G18+G25+G31+G34+G37</f>
        <v/>
      </c>
    </row>
    <row r="39">
      <c r="A39" s="16" t="n"/>
      <c r="B39" s="17" t="inlineStr">
        <is>
          <t>din care C + M (construcții + montaj)</t>
        </is>
      </c>
      <c r="C39" s="18">
        <f>C8+C9+C12+C20+C21+C27</f>
        <v/>
      </c>
      <c r="D39" s="16" t="n"/>
      <c r="E39" s="16" t="n"/>
      <c r="F39" s="16" t="n"/>
      <c r="G39" s="1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9" t="inlineStr">
        <is>
          <t>INFORMAȚII GENERALE PROIECT</t>
        </is>
      </c>
    </row>
    <row r="3">
      <c r="A3" s="2" t="inlineStr">
        <is>
          <t>Denumire obiectiv:</t>
        </is>
      </c>
      <c r="B3" s="20" t="n"/>
    </row>
    <row r="4">
      <c r="A4" s="2" t="inlineStr">
        <is>
          <t>Beneficiar:</t>
        </is>
      </c>
      <c r="B4" s="20" t="n"/>
    </row>
    <row r="5">
      <c r="A5" s="2" t="inlineStr">
        <is>
          <t>Proiectant:</t>
        </is>
      </c>
      <c r="B5" s="20" t="n"/>
    </row>
    <row r="6">
      <c r="A6" s="2" t="inlineStr">
        <is>
          <t>CUI:</t>
        </is>
      </c>
      <c r="B6" s="20" t="n"/>
    </row>
    <row r="7">
      <c r="A7" s="2" t="inlineStr">
        <is>
          <t>Localitate:</t>
        </is>
      </c>
      <c r="B7" s="20" t="n"/>
    </row>
    <row r="8">
      <c r="A8" s="2" t="inlineStr">
        <is>
          <t>Data:</t>
        </is>
      </c>
      <c r="B8" s="20" t="n"/>
    </row>
    <row r="9">
      <c r="A9" s="2" t="inlineStr">
        <is>
          <t>Cota TVA:</t>
        </is>
      </c>
      <c r="B9" s="21" t="n">
        <v>0.19</v>
      </c>
    </row>
    <row r="10">
      <c r="A10" s="2" t="inlineStr">
        <is>
          <t>Curs EUR (lei):</t>
        </is>
      </c>
      <c r="B10" s="20" t="n">
        <v>4.97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</cols>
  <sheetData>
    <row r="1">
      <c r="A1" s="19" t="inlineStr">
        <is>
          <t>DEVIZUL OBIECTULUI (DO1) — Construcții, montaj, utilaje, dotări</t>
        </is>
      </c>
    </row>
    <row r="3">
      <c r="A3" s="3" t="inlineStr">
        <is>
          <t>Nr. / cod</t>
        </is>
      </c>
      <c r="B3" s="3" t="inlineStr">
        <is>
          <t>Obiect / Categorie de lucrări</t>
        </is>
      </c>
      <c r="C3" s="3" t="inlineStr">
        <is>
          <t>Valoare fără TVA (lei)</t>
        </is>
      </c>
    </row>
    <row r="4">
      <c r="A4" s="22" t="inlineStr">
        <is>
          <t>4.1.1</t>
        </is>
      </c>
      <c r="B4" s="4" t="inlineStr">
        <is>
          <t>Hala de procesare lapte</t>
        </is>
      </c>
      <c r="C4" s="23">
        <f>SUM(C5:C7)</f>
        <v/>
      </c>
    </row>
    <row r="5">
      <c r="A5" s="6" t="inlineStr">
        <is>
          <t>4.1.1.1</t>
        </is>
      </c>
      <c r="B5" s="16" t="inlineStr">
        <is>
          <t xml:space="preserve">   Rezistență</t>
        </is>
      </c>
      <c r="C5" s="8" t="n"/>
    </row>
    <row r="6">
      <c r="A6" s="6" t="inlineStr">
        <is>
          <t>4.1.1.2</t>
        </is>
      </c>
      <c r="B6" s="16" t="inlineStr">
        <is>
          <t xml:space="preserve">   Arhitectură</t>
        </is>
      </c>
      <c r="C6" s="8" t="n"/>
    </row>
    <row r="7">
      <c r="A7" s="6" t="inlineStr">
        <is>
          <t>4.1.1.3</t>
        </is>
      </c>
      <c r="B7" s="16" t="inlineStr">
        <is>
          <t xml:space="preserve">   Instalații</t>
        </is>
      </c>
      <c r="C7" s="8" t="n"/>
    </row>
    <row r="8">
      <c r="A8" s="22" t="inlineStr">
        <is>
          <t>4.1.2</t>
        </is>
      </c>
      <c r="B8" s="4" t="inlineStr">
        <is>
          <t>Depozit frigorific</t>
        </is>
      </c>
      <c r="C8" s="23">
        <f>SUM(C9:C11)</f>
        <v/>
      </c>
    </row>
    <row r="9">
      <c r="A9" s="6" t="inlineStr">
        <is>
          <t>4.1.2.1</t>
        </is>
      </c>
      <c r="B9" s="16" t="inlineStr">
        <is>
          <t xml:space="preserve">   Rezistență</t>
        </is>
      </c>
      <c r="C9" s="8" t="n"/>
    </row>
    <row r="10">
      <c r="A10" s="6" t="inlineStr">
        <is>
          <t>4.1.2.2</t>
        </is>
      </c>
      <c r="B10" s="16" t="inlineStr">
        <is>
          <t xml:space="preserve">   Arhitectură</t>
        </is>
      </c>
      <c r="C10" s="8" t="n"/>
    </row>
    <row r="11">
      <c r="A11" s="6" t="inlineStr">
        <is>
          <t>4.1.2.3</t>
        </is>
      </c>
      <c r="B11" s="16" t="inlineStr">
        <is>
          <t xml:space="preserve">   Instalații</t>
        </is>
      </c>
      <c r="C11" s="8" t="n"/>
    </row>
    <row r="12">
      <c r="A12" s="22" t="inlineStr">
        <is>
          <t>4.1.3</t>
        </is>
      </c>
      <c r="B12" s="4" t="inlineStr">
        <is>
          <t>Centrală termică</t>
        </is>
      </c>
      <c r="C12" s="23">
        <f>SUM(C13:C14)</f>
        <v/>
      </c>
    </row>
    <row r="13">
      <c r="A13" s="6" t="inlineStr">
        <is>
          <t>4.1.3.1</t>
        </is>
      </c>
      <c r="B13" s="16" t="inlineStr">
        <is>
          <t xml:space="preserve">   Construcții</t>
        </is>
      </c>
      <c r="C13" s="8" t="n"/>
    </row>
    <row r="14">
      <c r="A14" s="6" t="inlineStr">
        <is>
          <t>4.1.3.2</t>
        </is>
      </c>
      <c r="B14" s="16" t="inlineStr">
        <is>
          <t xml:space="preserve">   Instalații</t>
        </is>
      </c>
      <c r="C14" s="8" t="n"/>
    </row>
    <row r="15">
      <c r="A15" s="22" t="inlineStr">
        <is>
          <t>4.1.4</t>
        </is>
      </c>
      <c r="B15" s="4" t="inlineStr">
        <is>
          <t>Amenajări exterioare</t>
        </is>
      </c>
      <c r="C15" s="23">
        <f>SUM(C16:C16)</f>
        <v/>
      </c>
    </row>
    <row r="16">
      <c r="A16" s="6" t="inlineStr">
        <is>
          <t>4.1.4.1</t>
        </is>
      </c>
      <c r="B16" s="16" t="inlineStr">
        <is>
          <t xml:space="preserve">   Alei și platforme</t>
        </is>
      </c>
      <c r="C16" s="8" t="n"/>
    </row>
    <row r="17">
      <c r="A17" s="16" t="n"/>
      <c r="B17" s="17" t="inlineStr">
        <is>
          <t>TOTAL Construcții și instalații (cap. 4.1)</t>
        </is>
      </c>
      <c r="C17" s="12">
        <f>C4+C8+C12+C15</f>
        <v/>
      </c>
    </row>
    <row r="19">
      <c r="A19" s="16" t="inlineStr">
        <is>
          <t>4.2</t>
        </is>
      </c>
      <c r="B19" s="16" t="inlineStr">
        <is>
          <t>Montaj utilaje, echipamente</t>
        </is>
      </c>
      <c r="C19" s="8" t="n"/>
    </row>
    <row r="20">
      <c r="A20" s="16" t="inlineStr">
        <is>
          <t>4.3</t>
        </is>
      </c>
      <c r="B20" s="16" t="inlineStr">
        <is>
          <t>Utilaje, echipamente tehnologice (cu montaj)</t>
        </is>
      </c>
      <c r="C20" s="8" t="n"/>
    </row>
    <row r="21">
      <c r="A21" s="16" t="inlineStr">
        <is>
          <t>4.5</t>
        </is>
      </c>
      <c r="B21" s="16" t="inlineStr">
        <is>
          <t>Dotări</t>
        </is>
      </c>
      <c r="C21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2026-06-30T13:25:22Z</dcterms:created>
  <dcterms:modified xmlns:dcterms="http://purl.org/dc/terms/" xmlns:xsi="http://www.w3.org/2001/XMLSchema-instance" xsi:type="dcterms:W3CDTF">2026-06-30T13:25:22Z</dcterms:modified>
</cp:coreProperties>
</file>