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teze" sheetId="1" state="visible" r:id="rId1"/>
    <sheet xmlns:r="http://schemas.openxmlformats.org/officeDocument/2006/relationships" name="Venituri" sheetId="2" state="visible" r:id="rId2"/>
    <sheet xmlns:r="http://schemas.openxmlformats.org/officeDocument/2006/relationships" name="Cheltuieli" sheetId="3" state="visible" r:id="rId3"/>
    <sheet xmlns:r="http://schemas.openxmlformats.org/officeDocument/2006/relationships" name="CPP" sheetId="4" state="visible" r:id="rId4"/>
    <sheet xmlns:r="http://schemas.openxmlformats.org/officeDocument/2006/relationships" name="Indicato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2" borderId="1" applyProtection="1" pivotButton="0" quotePrefix="0" xfId="0">
      <protection locked="0" hidden="0"/>
    </xf>
    <xf numFmtId="4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0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4" fillId="0" borderId="1" pivotButton="0" quotePrefix="0" xfId="0"/>
    <xf numFmtId="0" fontId="2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ANEXA B — PLAN DE AFACERI · Ipoteze (date de intrare)</t>
        </is>
      </c>
    </row>
    <row r="2">
      <c r="A2" t="inlineStr">
        <is>
          <t>SC NAPSUGÁR TEJÜZEM SRL — fabrică de procesare lapte (exemplu fictiv)</t>
        </is>
      </c>
    </row>
    <row r="3">
      <c r="A3" s="2" t="inlineStr">
        <is>
          <t>Capacitate procesare (litri/an)</t>
        </is>
      </c>
      <c r="B3" s="3" t="n"/>
    </row>
    <row r="4">
      <c r="A4" s="2" t="inlineStr">
        <is>
          <t>Preț mediu vânzare (lei/litru echiv.)</t>
        </is>
      </c>
      <c r="B4" s="4" t="n"/>
    </row>
    <row r="5">
      <c r="A5" s="2" t="inlineStr">
        <is>
          <t>Cost materie primă (lei/litru)</t>
        </is>
      </c>
      <c r="B5" s="4" t="n"/>
    </row>
    <row r="6">
      <c r="A6" s="2" t="inlineStr">
        <is>
          <t>Cheltuieli salariale (lei/an)</t>
        </is>
      </c>
      <c r="B6" s="3" t="n"/>
    </row>
    <row r="7">
      <c r="A7" s="2" t="inlineStr">
        <is>
          <t>Utilități (lei/an)</t>
        </is>
      </c>
      <c r="B7" s="3" t="n"/>
    </row>
    <row r="8">
      <c r="A8" s="2" t="inlineStr">
        <is>
          <t>Alte cheltuieli operaționale (lei/an)</t>
        </is>
      </c>
      <c r="B8" s="3" t="n"/>
    </row>
    <row r="9">
      <c r="A9" s="2" t="inlineStr">
        <is>
          <t>Amortizare anuală (lei/an)</t>
        </is>
      </c>
      <c r="B9" s="3" t="n"/>
    </row>
    <row r="10">
      <c r="A10" s="2" t="inlineStr">
        <is>
          <t>Cota impozit pe profit</t>
        </is>
      </c>
      <c r="B10" s="5" t="n"/>
    </row>
    <row r="11">
      <c r="C11" s="6" t="inlineStr">
        <is>
          <t>An 1</t>
        </is>
      </c>
      <c r="D11" s="6" t="inlineStr">
        <is>
          <t>An 2</t>
        </is>
      </c>
      <c r="E11" s="6" t="inlineStr">
        <is>
          <t>An 3</t>
        </is>
      </c>
      <c r="F11" s="6" t="inlineStr">
        <is>
          <t>An 4</t>
        </is>
      </c>
      <c r="G11" s="6" t="inlineStr">
        <is>
          <t>An 5</t>
        </is>
      </c>
    </row>
    <row r="12">
      <c r="A12" s="2" t="inlineStr">
        <is>
          <t>Grad de utilizare capacitate</t>
        </is>
      </c>
      <c r="C12" s="5" t="n"/>
      <c r="D12" s="5" t="n"/>
      <c r="E12" s="5" t="n"/>
      <c r="F12" s="5" t="n"/>
      <c r="G1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VENITURI (prognoză 5 ani)</t>
        </is>
      </c>
    </row>
    <row r="3">
      <c r="A3" s="7" t="inlineStr">
        <is>
          <t>Element</t>
        </is>
      </c>
      <c r="C3" s="6" t="inlineStr">
        <is>
          <t>An 1</t>
        </is>
      </c>
      <c r="D3" s="6" t="inlineStr">
        <is>
          <t>An 2</t>
        </is>
      </c>
      <c r="E3" s="6" t="inlineStr">
        <is>
          <t>An 3</t>
        </is>
      </c>
      <c r="F3" s="6" t="inlineStr">
        <is>
          <t>An 4</t>
        </is>
      </c>
      <c r="G3" s="6" t="inlineStr">
        <is>
          <t>An 5</t>
        </is>
      </c>
    </row>
    <row r="4">
      <c r="A4" s="8" t="inlineStr">
        <is>
          <t>Venituri din vânzări produse lactate</t>
        </is>
      </c>
      <c r="C4" s="9">
        <f>Ipoteze!$B$3*Ipoteze!C$12*Ipoteze!$B$4</f>
        <v/>
      </c>
      <c r="D4" s="9">
        <f>Ipoteze!$B$3*Ipoteze!D$12*Ipoteze!$B$4</f>
        <v/>
      </c>
      <c r="E4" s="9">
        <f>Ipoteze!$B$3*Ipoteze!E$12*Ipoteze!$B$4</f>
        <v/>
      </c>
      <c r="F4" s="9">
        <f>Ipoteze!$B$3*Ipoteze!F$12*Ipoteze!$B$4</f>
        <v/>
      </c>
      <c r="G4" s="9">
        <f>Ipoteze!$B$3*Ipoteze!G$12*Ipoteze!$B$4</f>
        <v/>
      </c>
    </row>
    <row r="5">
      <c r="A5" s="10" t="inlineStr">
        <is>
          <t>TOTAL VENITURI</t>
        </is>
      </c>
      <c r="C5" s="11">
        <f>SUM(C4:C4)</f>
        <v/>
      </c>
      <c r="D5" s="11">
        <f>SUM(D4:D4)</f>
        <v/>
      </c>
      <c r="E5" s="11">
        <f>SUM(E4:E4)</f>
        <v/>
      </c>
      <c r="F5" s="11">
        <f>SUM(F4:F4)</f>
        <v/>
      </c>
      <c r="G5" s="11">
        <f>SUM(G4:G4)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CHELTUIELI (prognoză 5 ani)</t>
        </is>
      </c>
    </row>
    <row r="3">
      <c r="A3" s="7" t="inlineStr">
        <is>
          <t>Element</t>
        </is>
      </c>
      <c r="C3" s="6" t="inlineStr">
        <is>
          <t>An 1</t>
        </is>
      </c>
      <c r="D3" s="6" t="inlineStr">
        <is>
          <t>An 2</t>
        </is>
      </c>
      <c r="E3" s="6" t="inlineStr">
        <is>
          <t>An 3</t>
        </is>
      </c>
      <c r="F3" s="6" t="inlineStr">
        <is>
          <t>An 4</t>
        </is>
      </c>
      <c r="G3" s="6" t="inlineStr">
        <is>
          <t>An 5</t>
        </is>
      </c>
    </row>
    <row r="4">
      <c r="A4" s="8" t="inlineStr">
        <is>
          <t>Materie primă (lapte)</t>
        </is>
      </c>
      <c r="C4" s="9">
        <f>Ipoteze!$B$3*Ipoteze!C$12*Ipoteze!$B$5</f>
        <v/>
      </c>
      <c r="D4" s="9">
        <f>Ipoteze!$B$3*Ipoteze!D$12*Ipoteze!$B$5</f>
        <v/>
      </c>
      <c r="E4" s="9">
        <f>Ipoteze!$B$3*Ipoteze!E$12*Ipoteze!$B$5</f>
        <v/>
      </c>
      <c r="F4" s="9">
        <f>Ipoteze!$B$3*Ipoteze!F$12*Ipoteze!$B$5</f>
        <v/>
      </c>
      <c r="G4" s="9">
        <f>Ipoteze!$B$3*Ipoteze!G$12*Ipoteze!$B$5</f>
        <v/>
      </c>
    </row>
    <row r="5">
      <c r="A5" s="8" t="inlineStr">
        <is>
          <t>Cheltuieli salariale</t>
        </is>
      </c>
      <c r="C5" s="9">
        <f>Ipoteze!$B$6</f>
        <v/>
      </c>
      <c r="D5" s="9">
        <f>Ipoteze!$B$6</f>
        <v/>
      </c>
      <c r="E5" s="9">
        <f>Ipoteze!$B$6</f>
        <v/>
      </c>
      <c r="F5" s="9">
        <f>Ipoteze!$B$6</f>
        <v/>
      </c>
      <c r="G5" s="9">
        <f>Ipoteze!$B$6</f>
        <v/>
      </c>
    </row>
    <row r="6">
      <c r="A6" s="8" t="inlineStr">
        <is>
          <t>Utilități</t>
        </is>
      </c>
      <c r="C6" s="9">
        <f>Ipoteze!$B$7</f>
        <v/>
      </c>
      <c r="D6" s="9">
        <f>Ipoteze!$B$7</f>
        <v/>
      </c>
      <c r="E6" s="9">
        <f>Ipoteze!$B$7</f>
        <v/>
      </c>
      <c r="F6" s="9">
        <f>Ipoteze!$B$7</f>
        <v/>
      </c>
      <c r="G6" s="9">
        <f>Ipoteze!$B$7</f>
        <v/>
      </c>
    </row>
    <row r="7">
      <c r="A7" s="8" t="inlineStr">
        <is>
          <t>Alte cheltuieli operaționale</t>
        </is>
      </c>
      <c r="C7" s="9">
        <f>Ipoteze!$B$8</f>
        <v/>
      </c>
      <c r="D7" s="9">
        <f>Ipoteze!$B$8</f>
        <v/>
      </c>
      <c r="E7" s="9">
        <f>Ipoteze!$B$8</f>
        <v/>
      </c>
      <c r="F7" s="9">
        <f>Ipoteze!$B$8</f>
        <v/>
      </c>
      <c r="G7" s="9">
        <f>Ipoteze!$B$8</f>
        <v/>
      </c>
    </row>
    <row r="8">
      <c r="A8" s="8" t="inlineStr">
        <is>
          <t>Amortizare</t>
        </is>
      </c>
      <c r="C8" s="9">
        <f>Ipoteze!$B$9</f>
        <v/>
      </c>
      <c r="D8" s="9">
        <f>Ipoteze!$B$9</f>
        <v/>
      </c>
      <c r="E8" s="9">
        <f>Ipoteze!$B$9</f>
        <v/>
      </c>
      <c r="F8" s="9">
        <f>Ipoteze!$B$9</f>
        <v/>
      </c>
      <c r="G8" s="9">
        <f>Ipoteze!$B$9</f>
        <v/>
      </c>
    </row>
    <row r="9">
      <c r="A9" s="10" t="inlineStr">
        <is>
          <t>TOTAL CHELTUIELI</t>
        </is>
      </c>
      <c r="C9" s="11">
        <f>SUM(C4:C8)</f>
        <v/>
      </c>
      <c r="D9" s="11">
        <f>SUM(D4:D8)</f>
        <v/>
      </c>
      <c r="E9" s="11">
        <f>SUM(E4:E8)</f>
        <v/>
      </c>
      <c r="F9" s="11">
        <f>SUM(F4:F8)</f>
        <v/>
      </c>
      <c r="G9" s="11">
        <f>SUM(G4:G8)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CONTUL DE PROFIT ȘI PIERDERE (prognoză 5 ani)</t>
        </is>
      </c>
    </row>
    <row r="3">
      <c r="A3" s="7" t="inlineStr">
        <is>
          <t>Indicator</t>
        </is>
      </c>
      <c r="C3" s="6" t="inlineStr">
        <is>
          <t>An 1</t>
        </is>
      </c>
      <c r="D3" s="6" t="inlineStr">
        <is>
          <t>An 2</t>
        </is>
      </c>
      <c r="E3" s="6" t="inlineStr">
        <is>
          <t>An 3</t>
        </is>
      </c>
      <c r="F3" s="6" t="inlineStr">
        <is>
          <t>An 4</t>
        </is>
      </c>
      <c r="G3" s="6" t="inlineStr">
        <is>
          <t>An 5</t>
        </is>
      </c>
    </row>
    <row r="4">
      <c r="A4" s="12" t="inlineStr">
        <is>
          <t>Venituri totale</t>
        </is>
      </c>
      <c r="C4" s="9">
        <f>Venituri!C5</f>
        <v/>
      </c>
      <c r="D4" s="9">
        <f>Venituri!D5</f>
        <v/>
      </c>
      <c r="E4" s="9">
        <f>Venituri!E5</f>
        <v/>
      </c>
      <c r="F4" s="9">
        <f>Venituri!F5</f>
        <v/>
      </c>
      <c r="G4" s="9">
        <f>Venituri!G5</f>
        <v/>
      </c>
    </row>
    <row r="5">
      <c r="A5" s="12" t="inlineStr">
        <is>
          <t>Cheltuieli totale</t>
        </is>
      </c>
      <c r="C5" s="9">
        <f>Cheltuieli!C9</f>
        <v/>
      </c>
      <c r="D5" s="9">
        <f>Cheltuieli!D9</f>
        <v/>
      </c>
      <c r="E5" s="9">
        <f>Cheltuieli!E9</f>
        <v/>
      </c>
      <c r="F5" s="9">
        <f>Cheltuieli!F9</f>
        <v/>
      </c>
      <c r="G5" s="9">
        <f>Cheltuieli!G9</f>
        <v/>
      </c>
    </row>
    <row r="6">
      <c r="A6" s="13" t="inlineStr">
        <is>
          <t>Profit brut</t>
        </is>
      </c>
      <c r="C6" s="9">
        <f>C4-C5</f>
        <v/>
      </c>
      <c r="D6" s="9">
        <f>D4-D5</f>
        <v/>
      </c>
      <c r="E6" s="9">
        <f>E4-E5</f>
        <v/>
      </c>
      <c r="F6" s="9">
        <f>F4-F5</f>
        <v/>
      </c>
      <c r="G6" s="9">
        <f>G4-G5</f>
        <v/>
      </c>
    </row>
    <row r="7">
      <c r="A7" s="12" t="inlineStr">
        <is>
          <t>Impozit pe profit</t>
        </is>
      </c>
      <c r="C7" s="9">
        <f>MAX(0,C6)*Ipoteze!$B$10</f>
        <v/>
      </c>
      <c r="D7" s="9">
        <f>MAX(0,D6)*Ipoteze!$B$10</f>
        <v/>
      </c>
      <c r="E7" s="9">
        <f>MAX(0,E6)*Ipoteze!$B$10</f>
        <v/>
      </c>
      <c r="F7" s="9">
        <f>MAX(0,F6)*Ipoteze!$B$10</f>
        <v/>
      </c>
      <c r="G7" s="9">
        <f>MAX(0,G6)*Ipoteze!$B$10</f>
        <v/>
      </c>
    </row>
    <row r="8">
      <c r="A8" s="13" t="inlineStr">
        <is>
          <t>Profit net</t>
        </is>
      </c>
      <c r="C8" s="11">
        <f>C6-C7</f>
        <v/>
      </c>
      <c r="D8" s="11">
        <f>D6-D7</f>
        <v/>
      </c>
      <c r="E8" s="11">
        <f>E6-E7</f>
        <v/>
      </c>
      <c r="F8" s="11">
        <f>F6-F7</f>
        <v/>
      </c>
      <c r="G8" s="11">
        <f>G6-G7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INDICATORI</t>
        </is>
      </c>
    </row>
    <row r="3">
      <c r="A3" s="7" t="inlineStr">
        <is>
          <t>Indicator</t>
        </is>
      </c>
      <c r="B3" s="7" t="inlineStr">
        <is>
          <t>Valoare</t>
        </is>
      </c>
    </row>
    <row r="4">
      <c r="A4" s="8" t="inlineStr">
        <is>
          <t>Marjă netă An 5</t>
        </is>
      </c>
      <c r="B4" s="14">
        <f>CPP!G8/CPP!G4</f>
        <v/>
      </c>
    </row>
    <row r="5">
      <c r="A5" s="8" t="inlineStr">
        <is>
          <t>Profit net cumulat 5 ani</t>
        </is>
      </c>
      <c r="B5" s="9">
        <f>SUM(CPP!C8:G8)</f>
        <v/>
      </c>
    </row>
    <row r="6">
      <c r="A6" s="8" t="inlineStr">
        <is>
          <t>Venituri cumulate 5 ani</t>
        </is>
      </c>
      <c r="B6" s="9">
        <f>SUM(CPP!C4:G4)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2026-06-30T13:42:45Z</dcterms:created>
  <dcterms:modified xmlns:dcterms="http://purl.org/dc/terms/" xmlns:xsi="http://www.w3.org/2001/XMLSchema-instance" xsi:type="dcterms:W3CDTF">2026-06-30T13:42:45Z</dcterms:modified>
</cp:coreProperties>
</file>