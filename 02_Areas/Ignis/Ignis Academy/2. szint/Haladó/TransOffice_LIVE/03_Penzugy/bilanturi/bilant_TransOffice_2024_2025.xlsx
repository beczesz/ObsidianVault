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ț simplificat" sheetId="1" state="visible" r:id="rId1"/>
    <sheet xmlns:r="http://schemas.openxmlformats.org/officeDocument/2006/relationships" name="Cont profit &amp; pierdere" sheetId="2" state="visible" r:id="rId2"/>
    <sheet xmlns:r="http://schemas.openxmlformats.org/officeDocument/2006/relationships" name="EBITDA" sheetId="3" state="visible" r:id="rId3"/>
    <sheet xmlns:r="http://schemas.openxmlformats.org/officeDocument/2006/relationships" name="Nr. salariaț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  <font>
      <i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2" fillId="2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TransOffice Trade SRL — Bilanț simplificat</t>
        </is>
      </c>
    </row>
    <row r="2">
      <c r="A2" t="inlineStr">
        <is>
          <t>CUI: 15847291 | J19/421/2003 | Odorheiu Secuiesc, jud. Harghita</t>
        </is>
      </c>
    </row>
    <row r="3"/>
    <row r="4">
      <c r="A4" s="2" t="inlineStr">
        <is>
          <t>Indicator</t>
        </is>
      </c>
      <c r="B4" s="2" t="inlineStr">
        <is>
          <t>2024 (RON)</t>
        </is>
      </c>
      <c r="C4" s="2" t="inlineStr">
        <is>
          <t>2025 (RON)</t>
        </is>
      </c>
      <c r="D4" s="2" t="inlineStr">
        <is>
          <t>Variație %</t>
        </is>
      </c>
    </row>
    <row r="5">
      <c r="A5" s="3" t="inlineStr">
        <is>
          <t>ACTIV</t>
        </is>
      </c>
      <c r="B5" s="3" t="inlineStr"/>
      <c r="C5" s="3" t="inlineStr"/>
      <c r="D5" s="3" t="inlineStr"/>
    </row>
    <row r="6">
      <c r="A6" s="4" t="inlineStr">
        <is>
          <t>Active imobilizate</t>
        </is>
      </c>
      <c r="B6" s="5" t="n">
        <v>285000</v>
      </c>
      <c r="C6" s="5" t="n">
        <v>310000</v>
      </c>
      <c r="D6" s="6" t="n">
        <v>8.800000000000001</v>
      </c>
    </row>
    <row r="7">
      <c r="A7" s="4" t="inlineStr">
        <is>
          <t xml:space="preserve">  - Imobilizări corporale</t>
        </is>
      </c>
      <c r="B7" s="5" t="n">
        <v>245000</v>
      </c>
      <c r="C7" s="5" t="n">
        <v>275000</v>
      </c>
      <c r="D7" s="6" t="n">
        <v>12.2</v>
      </c>
    </row>
    <row r="8">
      <c r="A8" s="4" t="inlineStr">
        <is>
          <t xml:space="preserve">  - Imobilizări necorporale</t>
        </is>
      </c>
      <c r="B8" s="5" t="n">
        <v>40000</v>
      </c>
      <c r="C8" s="5" t="n">
        <v>35000</v>
      </c>
      <c r="D8" s="6" t="n">
        <v>-12.5</v>
      </c>
    </row>
    <row r="9">
      <c r="A9" s="4" t="inlineStr">
        <is>
          <t>Active circulante</t>
        </is>
      </c>
      <c r="B9" s="5" t="n">
        <v>520000</v>
      </c>
      <c r="C9" s="5" t="n">
        <v>548000</v>
      </c>
      <c r="D9" s="6" t="n">
        <v>5.4</v>
      </c>
    </row>
    <row r="10">
      <c r="A10" s="4" t="inlineStr">
        <is>
          <t xml:space="preserve">  - Stocuri</t>
        </is>
      </c>
      <c r="B10" s="5" t="n">
        <v>185000</v>
      </c>
      <c r="C10" s="5" t="n">
        <v>192000</v>
      </c>
      <c r="D10" s="6" t="n">
        <v>3.8</v>
      </c>
    </row>
    <row r="11">
      <c r="A11" s="4" t="inlineStr">
        <is>
          <t xml:space="preserve">  - Creanțe comerciale</t>
        </is>
      </c>
      <c r="B11" s="5" t="n">
        <v>210000</v>
      </c>
      <c r="C11" s="5" t="n">
        <v>225000</v>
      </c>
      <c r="D11" s="6" t="n">
        <v>7.1</v>
      </c>
    </row>
    <row r="12">
      <c r="A12" s="4" t="inlineStr">
        <is>
          <t xml:space="preserve">  - Disponibilități bănești</t>
        </is>
      </c>
      <c r="B12" s="5" t="n">
        <v>125000</v>
      </c>
      <c r="C12" s="5" t="n">
        <v>131000</v>
      </c>
      <c r="D12" s="6" t="n">
        <v>4.8</v>
      </c>
    </row>
    <row r="13">
      <c r="A13" s="3" t="inlineStr">
        <is>
          <t>TOTAL ACTIV</t>
        </is>
      </c>
      <c r="B13" s="7" t="n">
        <v>805000</v>
      </c>
      <c r="C13" s="7" t="n">
        <v>858000</v>
      </c>
      <c r="D13" s="8" t="n">
        <v>6.6</v>
      </c>
    </row>
    <row r="14">
      <c r="A14" s="3" t="inlineStr"/>
      <c r="B14" s="3" t="inlineStr"/>
      <c r="C14" s="3" t="inlineStr"/>
      <c r="D14" s="3" t="inlineStr"/>
    </row>
    <row r="15">
      <c r="A15" s="3" t="inlineStr">
        <is>
          <t>PASIV</t>
        </is>
      </c>
      <c r="B15" s="3" t="inlineStr"/>
      <c r="C15" s="3" t="inlineStr"/>
      <c r="D15" s="3" t="inlineStr"/>
    </row>
    <row r="16">
      <c r="A16" s="4" t="inlineStr">
        <is>
          <t>Capitaluri proprii</t>
        </is>
      </c>
      <c r="B16" s="5" t="n">
        <v>480000</v>
      </c>
      <c r="C16" s="5" t="n">
        <v>518000</v>
      </c>
      <c r="D16" s="6" t="n">
        <v>7.9</v>
      </c>
    </row>
    <row r="17">
      <c r="A17" s="4" t="inlineStr">
        <is>
          <t xml:space="preserve">  - Capital social</t>
        </is>
      </c>
      <c r="B17" s="5" t="n">
        <v>200</v>
      </c>
      <c r="C17" s="5" t="n">
        <v>200</v>
      </c>
      <c r="D17" s="4" t="n">
        <v>0</v>
      </c>
    </row>
    <row r="18">
      <c r="A18" s="4" t="inlineStr">
        <is>
          <t xml:space="preserve">  - Rezerve</t>
        </is>
      </c>
      <c r="B18" s="5" t="n">
        <v>195800</v>
      </c>
      <c r="C18" s="5" t="n">
        <v>215800</v>
      </c>
      <c r="D18" s="6" t="n">
        <v>10.2</v>
      </c>
    </row>
    <row r="19">
      <c r="A19" s="4" t="inlineStr">
        <is>
          <t xml:space="preserve">  - Rezultat reportat</t>
        </is>
      </c>
      <c r="B19" s="5" t="n">
        <v>284000</v>
      </c>
      <c r="C19" s="5" t="n">
        <v>302000</v>
      </c>
      <c r="D19" s="6" t="n">
        <v>6.3</v>
      </c>
    </row>
    <row r="20">
      <c r="A20" s="4" t="inlineStr">
        <is>
          <t>Datorii</t>
        </is>
      </c>
      <c r="B20" s="5" t="n">
        <v>325000</v>
      </c>
      <c r="C20" s="5" t="n">
        <v>340000</v>
      </c>
      <c r="D20" s="6" t="n">
        <v>4.6</v>
      </c>
    </row>
    <row r="21">
      <c r="A21" s="4" t="inlineStr">
        <is>
          <t xml:space="preserve">  - Datorii pe termen scurt</t>
        </is>
      </c>
      <c r="B21" s="5" t="n">
        <v>280000</v>
      </c>
      <c r="C21" s="5" t="n">
        <v>295000</v>
      </c>
      <c r="D21" s="6" t="n">
        <v>5.4</v>
      </c>
    </row>
    <row r="22">
      <c r="A22" s="4" t="inlineStr">
        <is>
          <t xml:space="preserve">  - Datorii pe termen lung</t>
        </is>
      </c>
      <c r="B22" s="5" t="n">
        <v>45000</v>
      </c>
      <c r="C22" s="5" t="n">
        <v>45000</v>
      </c>
      <c r="D22" s="4" t="n">
        <v>0</v>
      </c>
    </row>
    <row r="23">
      <c r="A23" s="3" t="inlineStr">
        <is>
          <t>TOTAL PASIV</t>
        </is>
      </c>
      <c r="B23" s="7" t="n">
        <v>805000</v>
      </c>
      <c r="C23" s="7" t="n">
        <v>858000</v>
      </c>
      <c r="D23" s="8" t="n">
        <v>6.6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TransOffice Trade SRL — Cont de profit și pierdere</t>
        </is>
      </c>
    </row>
    <row r="2"/>
    <row r="3">
      <c r="A3" s="2" t="inlineStr">
        <is>
          <t>Indicator</t>
        </is>
      </c>
      <c r="B3" s="2" t="inlineStr">
        <is>
          <t>2024 (RON)</t>
        </is>
      </c>
      <c r="C3" s="2" t="inlineStr">
        <is>
          <t>2025 (RON)</t>
        </is>
      </c>
      <c r="D3" s="2" t="inlineStr">
        <is>
          <t>Variație %</t>
        </is>
      </c>
    </row>
    <row r="4">
      <c r="A4" s="3" t="inlineStr">
        <is>
          <t>Cifra de afaceri netă</t>
        </is>
      </c>
      <c r="B4" s="7" t="n">
        <v>1890000</v>
      </c>
      <c r="C4" s="7" t="n">
        <v>2015000</v>
      </c>
      <c r="D4" s="8" t="n">
        <v>6.6</v>
      </c>
    </row>
    <row r="5">
      <c r="A5" s="4" t="inlineStr">
        <is>
          <t xml:space="preserve">  - Vânzări de mărfuri</t>
        </is>
      </c>
      <c r="B5" s="5" t="n">
        <v>1720000</v>
      </c>
      <c r="C5" s="5" t="n">
        <v>1835000</v>
      </c>
      <c r="D5" s="6" t="n">
        <v>6.7</v>
      </c>
    </row>
    <row r="6">
      <c r="A6" s="4" t="inlineStr">
        <is>
          <t xml:space="preserve">  - Prestări servicii</t>
        </is>
      </c>
      <c r="B6" s="5" t="n">
        <v>170000</v>
      </c>
      <c r="C6" s="5" t="n">
        <v>180000</v>
      </c>
      <c r="D6" s="6" t="n">
        <v>5.9</v>
      </c>
    </row>
    <row r="7">
      <c r="A7" s="4" t="inlineStr"/>
      <c r="B7" s="4" t="inlineStr"/>
      <c r="C7" s="4" t="inlineStr"/>
      <c r="D7" s="4" t="inlineStr"/>
    </row>
    <row r="8">
      <c r="A8" s="4" t="inlineStr">
        <is>
          <t>Cheltuieli cu mărfurile</t>
        </is>
      </c>
      <c r="B8" s="5" t="n">
        <v>1195000</v>
      </c>
      <c r="C8" s="5" t="n">
        <v>1265000</v>
      </c>
      <c r="D8" s="6" t="n">
        <v>5.9</v>
      </c>
    </row>
    <row r="9">
      <c r="A9" s="4" t="inlineStr">
        <is>
          <t>Cheltuieli cu personalul</t>
        </is>
      </c>
      <c r="B9" s="5" t="n">
        <v>468000</v>
      </c>
      <c r="C9" s="5" t="n">
        <v>498000</v>
      </c>
      <c r="D9" s="6" t="n">
        <v>6.4</v>
      </c>
    </row>
    <row r="10">
      <c r="A10" s="4" t="inlineStr">
        <is>
          <t xml:space="preserve">  - Salarii brute</t>
        </is>
      </c>
      <c r="B10" s="5" t="n">
        <v>360000</v>
      </c>
      <c r="C10" s="5" t="n">
        <v>384000</v>
      </c>
      <c r="D10" s="6" t="n">
        <v>6.7</v>
      </c>
    </row>
    <row r="11">
      <c r="A11" s="4" t="inlineStr">
        <is>
          <t xml:space="preserve">  - Contribuții sociale</t>
        </is>
      </c>
      <c r="B11" s="5" t="n">
        <v>108000</v>
      </c>
      <c r="C11" s="5" t="n">
        <v>114000</v>
      </c>
      <c r="D11" s="6" t="n">
        <v>5.6</v>
      </c>
    </row>
    <row r="12">
      <c r="A12" s="4" t="inlineStr">
        <is>
          <t>Cheltuieli cu chiria</t>
        </is>
      </c>
      <c r="B12" s="5" t="n">
        <v>58200</v>
      </c>
      <c r="C12" s="5" t="n">
        <v>59800</v>
      </c>
      <c r="D12" s="6" t="n">
        <v>2.7</v>
      </c>
    </row>
    <row r="13">
      <c r="A13" s="4" t="inlineStr">
        <is>
          <t>Cheltuieli cu utilitățile</t>
        </is>
      </c>
      <c r="B13" s="5" t="n">
        <v>42000</v>
      </c>
      <c r="C13" s="5" t="n">
        <v>44500</v>
      </c>
      <c r="D13" s="6" t="n">
        <v>6</v>
      </c>
    </row>
    <row r="14">
      <c r="A14" s="4" t="inlineStr">
        <is>
          <t>Cheltuieli cu amortizarea</t>
        </is>
      </c>
      <c r="B14" s="5" t="n">
        <v>38000</v>
      </c>
      <c r="C14" s="5" t="n">
        <v>41200</v>
      </c>
      <c r="D14" s="6" t="n">
        <v>8.4</v>
      </c>
    </row>
    <row r="15">
      <c r="A15" s="4" t="inlineStr">
        <is>
          <t>Alte cheltuieli de exploatare</t>
        </is>
      </c>
      <c r="B15" s="5" t="n">
        <v>55800</v>
      </c>
      <c r="C15" s="5" t="n">
        <v>58000</v>
      </c>
      <c r="D15" s="6" t="n">
        <v>3.9</v>
      </c>
    </row>
    <row r="16">
      <c r="A16" s="4" t="inlineStr"/>
      <c r="B16" s="4" t="inlineStr"/>
      <c r="C16" s="4" t="inlineStr"/>
      <c r="D16" s="4" t="inlineStr"/>
    </row>
    <row r="17">
      <c r="A17" s="3" t="inlineStr">
        <is>
          <t>REZULTAT DIN EXPLOATARE</t>
        </is>
      </c>
      <c r="B17" s="7" t="n">
        <v>33000</v>
      </c>
      <c r="C17" s="7" t="n">
        <v>48500</v>
      </c>
      <c r="D17" s="8" t="n">
        <v>47</v>
      </c>
    </row>
    <row r="18">
      <c r="A18" s="4" t="inlineStr"/>
      <c r="B18" s="4" t="inlineStr"/>
      <c r="C18" s="4" t="inlineStr"/>
      <c r="D18" s="4" t="inlineStr"/>
    </row>
    <row r="19">
      <c r="A19" s="4" t="inlineStr">
        <is>
          <t>Venituri financiare</t>
        </is>
      </c>
      <c r="B19" s="5" t="n">
        <v>2800</v>
      </c>
      <c r="C19" s="5" t="n">
        <v>3200</v>
      </c>
      <c r="D19" s="6" t="n">
        <v>14.3</v>
      </c>
    </row>
    <row r="20">
      <c r="A20" s="4" t="inlineStr">
        <is>
          <t>Cheltuieli financiare</t>
        </is>
      </c>
      <c r="B20" s="5" t="n">
        <v>8500</v>
      </c>
      <c r="C20" s="5" t="n">
        <v>7200</v>
      </c>
      <c r="D20" s="6" t="n">
        <v>-15.3</v>
      </c>
    </row>
    <row r="21">
      <c r="A21" s="3" t="inlineStr">
        <is>
          <t>REZULTAT FINANCIAR</t>
        </is>
      </c>
      <c r="B21" s="7" t="n">
        <v>-5700</v>
      </c>
      <c r="C21" s="7" t="n">
        <v>-4000</v>
      </c>
      <c r="D21" s="8" t="n">
        <v>29.8</v>
      </c>
    </row>
    <row r="22">
      <c r="A22" s="4" t="inlineStr"/>
      <c r="B22" s="4" t="inlineStr"/>
      <c r="C22" s="4" t="inlineStr"/>
      <c r="D22" s="4" t="inlineStr"/>
    </row>
    <row r="23">
      <c r="A23" s="3" t="inlineStr">
        <is>
          <t>REZULTAT BRUT</t>
        </is>
      </c>
      <c r="B23" s="7" t="n">
        <v>27300</v>
      </c>
      <c r="C23" s="7" t="n">
        <v>44500</v>
      </c>
      <c r="D23" s="8" t="n">
        <v>63</v>
      </c>
    </row>
    <row r="24">
      <c r="A24" s="4" t="inlineStr">
        <is>
          <t>Impozit pe profit (16%)</t>
        </is>
      </c>
      <c r="B24" s="5" t="n">
        <v>4368</v>
      </c>
      <c r="C24" s="5" t="n">
        <v>7120</v>
      </c>
      <c r="D24" s="6" t="n">
        <v>63</v>
      </c>
    </row>
    <row r="25">
      <c r="A25" s="3" t="inlineStr">
        <is>
          <t>REZULTAT NET</t>
        </is>
      </c>
      <c r="B25" s="7" t="n">
        <v>22932</v>
      </c>
      <c r="C25" s="7" t="n">
        <v>37380</v>
      </c>
      <c r="D25" s="8" t="n">
        <v>63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1" t="inlineStr">
        <is>
          <t>EBITDA Calculáció</t>
        </is>
      </c>
    </row>
    <row r="2"/>
    <row r="3">
      <c r="A3" s="9" t="inlineStr"/>
      <c r="B3" s="9" t="inlineStr">
        <is>
          <t>2024 (RON)</t>
        </is>
      </c>
      <c r="C3" s="9" t="inlineStr">
        <is>
          <t>2025 (RON)</t>
        </is>
      </c>
    </row>
    <row r="4">
      <c r="A4" s="4" t="inlineStr">
        <is>
          <t>Rezultat net</t>
        </is>
      </c>
      <c r="B4" s="5" t="n">
        <v>22932</v>
      </c>
      <c r="C4" s="5" t="n">
        <v>37380</v>
      </c>
    </row>
    <row r="5">
      <c r="A5" s="4" t="inlineStr">
        <is>
          <t>+ Impozit pe profit</t>
        </is>
      </c>
      <c r="B5" s="5" t="n">
        <v>4368</v>
      </c>
      <c r="C5" s="5" t="n">
        <v>7120</v>
      </c>
    </row>
    <row r="6">
      <c r="A6" s="4" t="inlineStr">
        <is>
          <t>+ Cheltuieli cu dobânzile</t>
        </is>
      </c>
      <c r="B6" s="5" t="n">
        <v>8500</v>
      </c>
      <c r="C6" s="5" t="n">
        <v>7200</v>
      </c>
    </row>
    <row r="7">
      <c r="A7" s="4" t="inlineStr">
        <is>
          <t>+ Amortizare</t>
        </is>
      </c>
      <c r="B7" s="5" t="n">
        <v>38000</v>
      </c>
      <c r="C7" s="5" t="n">
        <v>41200</v>
      </c>
    </row>
    <row r="8">
      <c r="A8" s="4" t="inlineStr"/>
      <c r="B8" s="4" t="inlineStr"/>
      <c r="C8" s="4" t="inlineStr"/>
    </row>
    <row r="9">
      <c r="A9" s="3">
        <f> EBITDA</f>
        <v/>
      </c>
      <c r="B9" s="7" t="n">
        <v>73800</v>
      </c>
      <c r="C9" s="7" t="n">
        <v>92900</v>
      </c>
    </row>
    <row r="10">
      <c r="A10" s="4" t="inlineStr"/>
      <c r="B10" s="4" t="inlineStr"/>
      <c r="C10" s="4" t="inlineStr"/>
    </row>
    <row r="11">
      <c r="A11" s="3" t="inlineStr">
        <is>
          <t>EBITDA marjă (%)</t>
        </is>
      </c>
      <c r="B11" s="3" t="inlineStr">
        <is>
          <t>3.9%</t>
        </is>
      </c>
      <c r="C11" s="3" t="inlineStr">
        <is>
          <t>4.6%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Numărul mediu de salariați</t>
        </is>
      </c>
    </row>
    <row r="2"/>
    <row r="3">
      <c r="A3" s="9" t="inlineStr">
        <is>
          <t>Departament</t>
        </is>
      </c>
      <c r="B3" s="9" t="inlineStr">
        <is>
          <t>2024</t>
        </is>
      </c>
      <c r="C3" s="9" t="inlineStr">
        <is>
          <t>2025</t>
        </is>
      </c>
    </row>
    <row r="4">
      <c r="A4" s="4" t="inlineStr">
        <is>
          <t>Conducere (director general)</t>
        </is>
      </c>
      <c r="B4" s="4" t="n">
        <v>1</v>
      </c>
      <c r="C4" s="4" t="n">
        <v>1</v>
      </c>
    </row>
    <row r="5">
      <c r="A5" s="4" t="inlineStr">
        <is>
          <t>Contabilitate / Administrație</t>
        </is>
      </c>
      <c r="B5" s="4" t="n">
        <v>1</v>
      </c>
      <c r="C5" s="4" t="n">
        <v>1</v>
      </c>
    </row>
    <row r="6">
      <c r="A6" s="4" t="inlineStr">
        <is>
          <t>Depozit / Logistică</t>
        </is>
      </c>
      <c r="B6" s="4" t="n">
        <v>3</v>
      </c>
      <c r="C6" s="4" t="n">
        <v>3</v>
      </c>
    </row>
    <row r="7">
      <c r="A7" s="4" t="inlineStr">
        <is>
          <t>Vânzări / Relații clienți</t>
        </is>
      </c>
      <c r="B7" s="4" t="n">
        <v>2</v>
      </c>
      <c r="C7" s="4" t="n">
        <v>2</v>
      </c>
    </row>
    <row r="8">
      <c r="A8" s="4" t="inlineStr">
        <is>
          <t>Livrare / Transport</t>
        </is>
      </c>
      <c r="B8" s="4" t="n">
        <v>4</v>
      </c>
      <c r="C8" s="4" t="n">
        <v>4</v>
      </c>
    </row>
    <row r="9">
      <c r="A9" s="4" t="inlineStr">
        <is>
          <t>Marketing (part-time)</t>
        </is>
      </c>
      <c r="B9" s="4" t="n">
        <v>0</v>
      </c>
      <c r="C9" s="4" t="n">
        <v>1</v>
      </c>
    </row>
    <row r="10">
      <c r="A10" s="4" t="inlineStr"/>
      <c r="B10" s="4" t="inlineStr"/>
      <c r="C10" s="4" t="inlineStr"/>
    </row>
    <row r="11">
      <c r="A11" s="3" t="inlineStr">
        <is>
          <t>TOTAL</t>
        </is>
      </c>
      <c r="B11" s="3" t="n">
        <v>11</v>
      </c>
      <c r="C11" s="3" t="n">
        <v>12</v>
      </c>
    </row>
    <row r="12"/>
    <row r="13">
      <c r="A13" s="10" t="inlineStr">
        <is>
          <t>Notă: Conform criteriilor OG 27/2006:</t>
        </is>
      </c>
    </row>
    <row r="14">
      <c r="A14" s="10" t="inlineStr">
        <is>
          <t xml:space="preserve">  • &lt; 10 salariați + CA &lt; 2M EUR = microîntreprindere ✓</t>
        </is>
      </c>
    </row>
    <row r="15">
      <c r="A15" s="11" t="inlineStr">
        <is>
          <t xml:space="preserve">  • TransOffice Trade SRL → MICROÎNTREPRINDERE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2026-05-11T10:21:40Z</dcterms:created>
  <dcterms:modified xmlns:dcterms="http://purl.org/dc/terms/" xmlns:xsi="http://www.w3.org/2001/XMLSchema-instance" xsi:type="dcterms:W3CDTF">2026-05-14T13:08:32Z</dcterms:modified>
</cp:coreProperties>
</file>