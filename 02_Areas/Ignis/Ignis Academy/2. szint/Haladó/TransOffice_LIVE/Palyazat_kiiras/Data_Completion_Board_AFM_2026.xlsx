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Completion Board" sheetId="1" state="visible" r:id="rId3"/>
    <sheet name="Összefoglal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<sst xmlns="http://schemas.openxmlformats.org/spreadsheetml/2006/main" count="216" uniqueCount="142">
  <si>
    <t xml:space="preserve">TransOffice — AFM Mobilitate Verde IMM 2026 — Data Completion Board</t>
  </si>
  <si>
    <t xml:space="preserve">Beadási határidő: 2026-05-22 (péntek)  |  Készült: 2026-05-15  |  Koordinátor: Szabolcs (OM)</t>
  </si>
  <si>
    <t xml:space="preserve">Tétel</t>
  </si>
  <si>
    <t xml:space="preserve">Felelős</t>
  </si>
  <si>
    <t xml:space="preserve">Határidő</t>
  </si>
  <si>
    <t xml:space="preserve">Forrás</t>
  </si>
  <si>
    <t xml:space="preserve">Státusz</t>
  </si>
  <si>
    <t xml:space="preserve">BEADÁS ELŐTT  —  2026-05-22-ig</t>
  </si>
  <si>
    <t xml:space="preserve">Pályázati kiírás 1 oldalas kivonata (jogosultsági feltételek + kötelező mellékletek)</t>
  </si>
  <si>
    <t xml:space="preserve">Szabolcs (OM)</t>
  </si>
  <si>
    <t xml:space="preserve">2026-05-18 szerda dél</t>
  </si>
  <si>
    <t xml:space="preserve">Palyazat_kiiras/Ghidul-…2026.pdf §5.1.1 + §5.7 + §7.4</t>
  </si>
  <si>
    <t xml:space="preserve">Folyamatban</t>
  </si>
  <si>
    <t xml:space="preserve">Cégadatok: cégkivonat (frissített), CAEN-kódok, alapítás dátuma (vechime ≥3 év — §5.1.1/4)</t>
  </si>
  <si>
    <t xml:space="preserve">Szabolcs</t>
  </si>
  <si>
    <t xml:space="preserve">2026-05-19 kedd</t>
  </si>
  <si>
    <t xml:space="preserve">ONRC online (recom.onrc.ro) + 02_Szerzodesek/</t>
  </si>
  <si>
    <t xml:space="preserve">Nincs adat</t>
  </si>
  <si>
    <t xml:space="preserve">CAEN-kód eligibility check (Anexa 3 lista vs. TransOffice fő/másodlagos kódjai)</t>
  </si>
  <si>
    <t xml:space="preserve">Ghid Anexa 3 (Coduri CAEN eligibile) + Certificat constatator</t>
  </si>
  <si>
    <t xml:space="preserve">IMM besorolás igazolása: árbevétel &lt;1.000.000 EUR + FTE &lt;20 (§5.1.1/3)</t>
  </si>
  <si>
    <t xml:space="preserve">Mihaela (külső könyvelő) + Márton</t>
  </si>
  <si>
    <t xml:space="preserve">2026-05-20 szerda</t>
  </si>
  <si>
    <t xml:space="preserve">Bilanț 2025 (Formular 10/20/30) + REGES kimutatás ITM-től</t>
  </si>
  <si>
    <t xml:space="preserve">Pénzügyi stabilitás (§5.1.1/8): EBITDA, D/E ≤2.5, equity pozitív, nincs &gt;50% felhalmozott veszteség, nincs adórestancia</t>
  </si>
  <si>
    <t xml:space="preserve">Mihaela + Márton</t>
  </si>
  <si>
    <t xml:space="preserve">Bilanț 2024 + 2025 + ANAF certificat fiscal (max 30 nap) + DITL certificat</t>
  </si>
  <si>
    <t xml:space="preserve">De minimis kimutatás (§5.1.1/9): elmúlt 3 év összes állami támogatás &lt;200k EUR / vállalkozás-egységenként</t>
  </si>
  <si>
    <t xml:space="preserve">Mihaela</t>
  </si>
  <si>
    <t xml:space="preserve">Anexa 11 (Declarația de minimis) + cont 7411/7412/7414 mozgások</t>
  </si>
  <si>
    <t xml:space="preserve">Járműflotta-leltár — Anexa 13 §21.2 (CR-08): márka, év, rendszám, VIN, kategória, km, ITP, RCA</t>
  </si>
  <si>
    <t xml:space="preserve">Szabolcs + Attila (raktár)</t>
  </si>
  <si>
    <t xml:space="preserve">Forgalmi (talon ARR/RAR) + RCA kötvények + ITP papírok / leasing szerződés</t>
  </si>
  <si>
    <t xml:space="preserve">Ingatlanjog igazolása a töltőállomás helyszínére (§5.1.1/7): tulajdonjog VAGY ≥5 év bérleti szerződés</t>
  </si>
  <si>
    <t xml:space="preserve">Márton</t>
  </si>
  <si>
    <t xml:space="preserve">02_Szerzodesek/szerzodes_iroda_berlet_*.docx + ANCPI kivonat</t>
  </si>
  <si>
    <t xml:space="preserve">Áramcsatlakozás: meglévő racord VAGY ATR (aviz tehnic de racordare) a disztribútortól (§5.1.1/7)</t>
  </si>
  <si>
    <t xml:space="preserve">Márton + Attila</t>
  </si>
  <si>
    <t xml:space="preserve">2026-05-21 csütörtök</t>
  </si>
  <si>
    <t xml:space="preserve">DEER/E-Distribuție/Delgaz portál — ATR kérelem online</t>
  </si>
  <si>
    <t xml:space="preserve">Saját hozzájárulás (20-30%) pénzügyi igazolása: bankszámla-kivonat VAGY hitellevél</t>
  </si>
  <si>
    <t xml:space="preserve">Mihaela + Ilona</t>
  </si>
  <si>
    <t xml:space="preserve">Bank kivonat (utolsó 30 nap) VAGY hitelszerződés/scrisoare bancară</t>
  </si>
  <si>
    <t xml:space="preserve">Anexa 6 — Studiul de oportunitate / Üzleti terv (8 fejezet, max ~30 oldal, TCO + cash-flow + kockázat)</t>
  </si>
  <si>
    <t xml:space="preserve">Ghid §22 (Anexa 6 model) + Anexa 7 financial template</t>
  </si>
  <si>
    <t xml:space="preserve">Anexa 13 — Plan de înnoire 1:1 + IE-01…IE-08 indikátorok + CO2-csökkentés (Anexa 8 metodológia)</t>
  </si>
  <si>
    <t xml:space="preserve">Ghid §21 + §19 (Anexa 8 — CO2 formula)</t>
  </si>
  <si>
    <t xml:space="preserve">Anexa 12 — DNSH egyszerűsített ellenőrzőlista (6 célkitűzés)</t>
  </si>
  <si>
    <t xml:space="preserve">Ghid §20 (Anexa 12 model)</t>
  </si>
  <si>
    <t xml:space="preserve">Anexa 11 — De minimis nyilatkozat (kitöltve, aláírva)</t>
  </si>
  <si>
    <t xml:space="preserve">Mihaela adatszolgáltatása alapján</t>
  </si>
  <si>
    <t xml:space="preserve">Declarația unică — eligibility nyilatkozatok (aláírt formanyomtatvány)</t>
  </si>
  <si>
    <t xml:space="preserve">2026-05-22 péntek reggel</t>
  </si>
  <si>
    <t xml:space="preserve">Ghid §8.2 (Declarația unică sablon)</t>
  </si>
  <si>
    <t xml:space="preserve">EV-modellválasztás: min. 3 alternatíva összehasonlítva, kiválasztott modellek + díler-ajánlat</t>
  </si>
  <si>
    <t xml:space="preserve">Díler-megkeresések (Dacia Spring, Renault Kangoo E-Tech, Peugeot e-Partner stb.)</t>
  </si>
  <si>
    <t xml:space="preserve">MySMIS2021+ felhasználói fiók aktiválása + projekt-űrlap kitöltése</t>
  </si>
  <si>
    <t xml:space="preserve">2026-05-22 péntek dél</t>
  </si>
  <si>
    <t xml:space="preserve">https://mysmis2021.gov.ro/</t>
  </si>
  <si>
    <t xml:space="preserve">AFM hatósági kérdéslista (homályos pontok tisztázása telefon + email)</t>
  </si>
  <si>
    <t xml:space="preserve">officeprograme@afm.ro / +40-21-300-7064</t>
  </si>
  <si>
    <t xml:space="preserve">Pályázati anyag végleges összerakása + beadás (MySMIS2021+ feltöltés, digitális aláírás)</t>
  </si>
  <si>
    <t xml:space="preserve">Szabolcs + Márton</t>
  </si>
  <si>
    <t xml:space="preserve">MySMIS2021+ portál + tokenes aláírás</t>
  </si>
  <si>
    <t xml:space="preserve">ELBÍRÁLÁS ALATT  —  2026-05-22 → kb. 2026-08-22 (becsült 90 nap)</t>
  </si>
  <si>
    <t xml:space="preserve">Beadási visszaigazolás archiválása (MySMIS regisztrációs szám)</t>
  </si>
  <si>
    <t xml:space="preserve">Beadás után 1 napon belül</t>
  </si>
  <si>
    <t xml:space="preserve">MySMIS2021+ értesítő email</t>
  </si>
  <si>
    <t xml:space="preserve">Adminisztratív megfelelőség értesítés bevárása (~10-15 munkanap)</t>
  </si>
  <si>
    <t xml:space="preserve">~2026-06-05</t>
  </si>
  <si>
    <t xml:space="preserve">AFM email + MySMIS portál</t>
  </si>
  <si>
    <t xml:space="preserve">Esetleges clarificări (hiánypótlás) — válaszadási határidő általában 5 munkanap</t>
  </si>
  <si>
    <t xml:space="preserve">Szabolcs + Mihaela + Márton</t>
  </si>
  <si>
    <t xml:space="preserve">Értesítés +5 munkanap</t>
  </si>
  <si>
    <t xml:space="preserve">MySMIS notificare clarificări</t>
  </si>
  <si>
    <t xml:space="preserve">Műszaki és pénzügyi értékelés (Criteriul I-V, 100 pont, min. 65 pont kapuje)</t>
  </si>
  <si>
    <t xml:space="preserve">—  (AFM oldal)  —</t>
  </si>
  <si>
    <t xml:space="preserve">~2026-07-15</t>
  </si>
  <si>
    <t xml:space="preserve">Ghid §17 + §8.4</t>
  </si>
  <si>
    <t xml:space="preserve">Contestație lehetőség, ha negatív értesítés érkezik (10 munkanapon belül)</t>
  </si>
  <si>
    <t xml:space="preserve">Szabolcs + ügyvéd</t>
  </si>
  <si>
    <t xml:space="preserve">Negatív értesítés +10 nap</t>
  </si>
  <si>
    <t xml:space="preserve">Ghid §8.8</t>
  </si>
  <si>
    <t xml:space="preserve">Etapa de contractare: 2024-es zárt pénzügyi év éves beszámolójának (situații financiare) csatolása</t>
  </si>
  <si>
    <t xml:space="preserve">Pozitív értesítés után 15 nap</t>
  </si>
  <si>
    <t xml:space="preserve">Bilanț 2024 (Formular 10/20/30 — depus la ANAF)</t>
  </si>
  <si>
    <t xml:space="preserve">Cazier judiciar + cazier fiscal a törvényes képviselőre (max 30 napos)</t>
  </si>
  <si>
    <t xml:space="preserve">Pozitív értesítés után 10 nap</t>
  </si>
  <si>
    <t xml:space="preserve">ANAF + Inspectoratul de Poliție</t>
  </si>
  <si>
    <t xml:space="preserve">Saját hozzájárulás véglegesítése: aktuális bankkivonat VAGY hitelszerződés aláírva</t>
  </si>
  <si>
    <t xml:space="preserve">Szerződéskötés előtt</t>
  </si>
  <si>
    <t xml:space="preserve">Bank/lízingcég</t>
  </si>
  <si>
    <t xml:space="preserve">Áramcsatlakozási ATR-okmány véglegesítése (ha még csak előzetes volt)</t>
  </si>
  <si>
    <t xml:space="preserve">Márton + DEER</t>
  </si>
  <si>
    <t xml:space="preserve">DEER/E-Distribuție</t>
  </si>
  <si>
    <t xml:space="preserve">Contractul de finanțare aláírása (Anexa 15 mintaszerződés alapján)</t>
  </si>
  <si>
    <t xml:space="preserve">Márton (törvényes képviselő)</t>
  </si>
  <si>
    <t xml:space="preserve">~2026-08-22</t>
  </si>
  <si>
    <t xml:space="preserve">AFM jogi osztály + tokenes aláírás</t>
  </si>
  <si>
    <t xml:space="preserve">MEGVALÓSÍTÁS ALATT  —  Szerződéskötés → max. 2028-12-31 (max ~28 hónap)</t>
  </si>
  <si>
    <t xml:space="preserve">Prefinanțare kérelem (max 30% előleg) — Cerere de prefinanțare</t>
  </si>
  <si>
    <t xml:space="preserve">Mihaela + Szabolcs</t>
  </si>
  <si>
    <t xml:space="preserve">Szerződés +30 nap</t>
  </si>
  <si>
    <t xml:space="preserve">Ghid §12.1 + MySMIS prefinanțare modul</t>
  </si>
  <si>
    <t xml:space="preserve">EV-beszerzési közbeszerzés / 3 ajánlat begyűjtése (achiziție vehicule)</t>
  </si>
  <si>
    <t xml:space="preserve">Szerződés +3 hónap</t>
  </si>
  <si>
    <t xml:space="preserve">3 dílertől írásos ajánlat + szerződés</t>
  </si>
  <si>
    <t xml:space="preserve">EV-k szállítása + forgalomba helyezése (înmatriculare DRPCIV)</t>
  </si>
  <si>
    <t xml:space="preserve">Márton + díler</t>
  </si>
  <si>
    <t xml:space="preserve">Szerződés +6 hónap (max)</t>
  </si>
  <si>
    <t xml:space="preserve">Faktura + talon ARR/RAR új járművekre</t>
  </si>
  <si>
    <t xml:space="preserve">Töltőállomás telepítése + ATR alapján műszaki üzembe helyezés</t>
  </si>
  <si>
    <t xml:space="preserve">Márton + kivitelező</t>
  </si>
  <si>
    <t xml:space="preserve">Szerződés +9 hónap (max)</t>
  </si>
  <si>
    <t xml:space="preserve">PIF jegyzőkönyv + DEER üzembe helyezési bizonylat</t>
  </si>
  <si>
    <t xml:space="preserve">Régi belsőégésű járművek casare / export EU-n kívülre (1:1 megfeleltetés!) — KRITIKUS!</t>
  </si>
  <si>
    <t xml:space="preserve">EV-k înmatriculare +12 hónap (max)</t>
  </si>
  <si>
    <t xml:space="preserve">Certificat de distrugere (Legea 212/2015) VAGY exportokmány + radiere DRPCIV</t>
  </si>
  <si>
    <t xml:space="preserve">Indicatori de etapă (IE-01 … IE-08) jelentése MySMIS-en keresztül</t>
  </si>
  <si>
    <t xml:space="preserve">Folyamatos (negyedévente)</t>
  </si>
  <si>
    <t xml:space="preserve">Ghid §11.3 + Anexa 14 (Plan de monitorizare)</t>
  </si>
  <si>
    <t xml:space="preserve">Cereri de plată / rambursare (kifizetési igénylések)</t>
  </si>
  <si>
    <t xml:space="preserve">Mérföldkövekhez kötve</t>
  </si>
  <si>
    <t xml:space="preserve">MySMIS plată/rambursare modul + számlák + bankkivonatok</t>
  </si>
  <si>
    <t xml:space="preserve">Záró audit + final report (max 2 hónappal az utolsó tevékenység után)</t>
  </si>
  <si>
    <t xml:space="preserve">Implementáció vége +2 hónap</t>
  </si>
  <si>
    <t xml:space="preserve">Audit (autorizált könyvvizsgáló) + raport final MySMIS</t>
  </si>
  <si>
    <t xml:space="preserve">CO2-megtakarítás monitorozása + éves jelentés</t>
  </si>
  <si>
    <t xml:space="preserve">Évente (3 év durabilitate)</t>
  </si>
  <si>
    <t xml:space="preserve">Anexa 8 metodológia + telematika adat</t>
  </si>
  <si>
    <t xml:space="preserve">Durabilitate periódus (3 év a projekt zárása után): EV-k tartása, töltő üzemben tartása</t>
  </si>
  <si>
    <t xml:space="preserve">Záró audit +3 év</t>
  </si>
  <si>
    <t xml:space="preserve">Saját nyilvántartás + AFM ad-hoc ellenőrzés</t>
  </si>
  <si>
    <t xml:space="preserve">Fázis</t>
  </si>
  <si>
    <t xml:space="preserve">Tételek száma</t>
  </si>
  <si>
    <t xml:space="preserve">Kész</t>
  </si>
  <si>
    <t xml:space="preserve">Blokkolt</t>
  </si>
  <si>
    <t xml:space="preserve">Teljesülés %</t>
  </si>
  <si>
    <t xml:space="preserve">BEADÁS ELŐTT</t>
  </si>
  <si>
    <t xml:space="preserve">ELBÍRÁLÁS ALATT</t>
  </si>
  <si>
    <t xml:space="preserve">MEGVALÓSÍTÁS ALATT</t>
  </si>
  <si>
    <t xml:space="preserve">ÖSSZESEN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</si>
</sst>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504D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rgb="FFE8A33D"/>
        <bgColor rgb="FFFF8080"/>
      </patternFill>
    </fill>
    <fill>
      <patternFill patternType="solid">
        <fgColor rgb="FF4F81BD"/>
        <bgColor rgb="FF3366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8A33D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4" hidden="false" customHeight="true" outlineLevel="0" collapsed="false">
      <c r="A5" s="4" t="s">
        <v>7</v>
      </c>
      <c r="B5" s="4"/>
      <c r="C5" s="4"/>
      <c r="D5" s="4"/>
      <c r="E5" s="4"/>
    </row>
    <row r="6" customFormat="false" ht="36" hidden="false" customHeight="tru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36" hidden="false" customHeight="true" outlineLevel="0" collapsed="false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</row>
    <row r="8" customFormat="false" ht="36" hidden="false" customHeight="true" outlineLevel="0" collapsed="false">
      <c r="A8" s="5" t="s">
        <v>18</v>
      </c>
      <c r="B8" s="5" t="s">
        <v>14</v>
      </c>
      <c r="C8" s="5" t="s">
        <v>15</v>
      </c>
      <c r="D8" s="5" t="s">
        <v>19</v>
      </c>
      <c r="E8" s="5" t="s">
        <v>17</v>
      </c>
    </row>
    <row r="9" customFormat="false" ht="36" hidden="false" customHeight="true" outlineLevel="0" collapsed="false">
      <c r="A9" s="6" t="s">
        <v>20</v>
      </c>
      <c r="B9" s="6" t="s">
        <v>21</v>
      </c>
      <c r="C9" s="6" t="s">
        <v>22</v>
      </c>
      <c r="D9" s="6" t="s">
        <v>23</v>
      </c>
      <c r="E9" s="6" t="s">
        <v>17</v>
      </c>
    </row>
    <row r="10" customFormat="false" ht="36" hidden="false" customHeight="true" outlineLevel="0" collapsed="false">
      <c r="A10" s="5" t="s">
        <v>24</v>
      </c>
      <c r="B10" s="5" t="s">
        <v>25</v>
      </c>
      <c r="C10" s="5" t="s">
        <v>22</v>
      </c>
      <c r="D10" s="5" t="s">
        <v>26</v>
      </c>
      <c r="E10" s="5" t="s">
        <v>17</v>
      </c>
    </row>
    <row r="11" customFormat="false" ht="36" hidden="false" customHeight="true" outlineLevel="0" collapsed="false">
      <c r="A11" s="6" t="s">
        <v>27</v>
      </c>
      <c r="B11" s="6" t="s">
        <v>28</v>
      </c>
      <c r="C11" s="6" t="s">
        <v>22</v>
      </c>
      <c r="D11" s="6" t="s">
        <v>29</v>
      </c>
      <c r="E11" s="6" t="s">
        <v>17</v>
      </c>
    </row>
    <row r="12" customFormat="false" ht="36" hidden="false" customHeight="true" outlineLevel="0" collapsed="false">
      <c r="A12" s="5" t="s">
        <v>30</v>
      </c>
      <c r="B12" s="5" t="s">
        <v>31</v>
      </c>
      <c r="C12" s="5" t="s">
        <v>15</v>
      </c>
      <c r="D12" s="5" t="s">
        <v>32</v>
      </c>
      <c r="E12" s="5" t="s">
        <v>17</v>
      </c>
    </row>
    <row r="13" customFormat="false" ht="36" hidden="false" customHeight="true" outlineLevel="0" collapsed="false">
      <c r="A13" s="6" t="s">
        <v>33</v>
      </c>
      <c r="B13" s="6" t="s">
        <v>34</v>
      </c>
      <c r="C13" s="6" t="s">
        <v>22</v>
      </c>
      <c r="D13" s="6" t="s">
        <v>35</v>
      </c>
      <c r="E13" s="6" t="s">
        <v>17</v>
      </c>
    </row>
    <row r="14" customFormat="false" ht="36" hidden="false" customHeight="true" outlineLevel="0" collapsed="false">
      <c r="A14" s="5" t="s">
        <v>36</v>
      </c>
      <c r="B14" s="5" t="s">
        <v>37</v>
      </c>
      <c r="C14" s="5" t="s">
        <v>38</v>
      </c>
      <c r="D14" s="5" t="s">
        <v>39</v>
      </c>
      <c r="E14" s="5" t="s">
        <v>17</v>
      </c>
    </row>
    <row r="15" customFormat="false" ht="36" hidden="false" customHeight="true" outlineLevel="0" collapsed="false">
      <c r="A15" s="6" t="s">
        <v>40</v>
      </c>
      <c r="B15" s="6" t="s">
        <v>41</v>
      </c>
      <c r="C15" s="6" t="s">
        <v>38</v>
      </c>
      <c r="D15" s="6" t="s">
        <v>42</v>
      </c>
      <c r="E15" s="6" t="s">
        <v>17</v>
      </c>
    </row>
    <row r="16" customFormat="false" ht="36" hidden="false" customHeight="true" outlineLevel="0" collapsed="false">
      <c r="A16" s="5" t="s">
        <v>43</v>
      </c>
      <c r="B16" s="5" t="s">
        <v>14</v>
      </c>
      <c r="C16" s="5" t="s">
        <v>38</v>
      </c>
      <c r="D16" s="5" t="s">
        <v>44</v>
      </c>
      <c r="E16" s="5" t="s">
        <v>17</v>
      </c>
    </row>
    <row r="17" customFormat="false" ht="36" hidden="false" customHeight="true" outlineLevel="0" collapsed="false">
      <c r="A17" s="6" t="s">
        <v>45</v>
      </c>
      <c r="B17" s="6" t="s">
        <v>14</v>
      </c>
      <c r="C17" s="6" t="s">
        <v>38</v>
      </c>
      <c r="D17" s="6" t="s">
        <v>46</v>
      </c>
      <c r="E17" s="6" t="s">
        <v>17</v>
      </c>
    </row>
    <row r="18" customFormat="false" ht="36" hidden="false" customHeight="true" outlineLevel="0" collapsed="false">
      <c r="A18" s="5" t="s">
        <v>47</v>
      </c>
      <c r="B18" s="5" t="s">
        <v>14</v>
      </c>
      <c r="C18" s="5" t="s">
        <v>38</v>
      </c>
      <c r="D18" s="5" t="s">
        <v>48</v>
      </c>
      <c r="E18" s="5" t="s">
        <v>17</v>
      </c>
    </row>
    <row r="19" customFormat="false" ht="36" hidden="false" customHeight="true" outlineLevel="0" collapsed="false">
      <c r="A19" s="6" t="s">
        <v>49</v>
      </c>
      <c r="B19" s="6" t="s">
        <v>34</v>
      </c>
      <c r="C19" s="6" t="s">
        <v>38</v>
      </c>
      <c r="D19" s="6" t="s">
        <v>50</v>
      </c>
      <c r="E19" s="6" t="s">
        <v>17</v>
      </c>
    </row>
    <row r="20" customFormat="false" ht="36" hidden="false" customHeight="true" outlineLevel="0" collapsed="false">
      <c r="A20" s="5" t="s">
        <v>51</v>
      </c>
      <c r="B20" s="5" t="s">
        <v>34</v>
      </c>
      <c r="C20" s="5" t="s">
        <v>52</v>
      </c>
      <c r="D20" s="5" t="s">
        <v>53</v>
      </c>
      <c r="E20" s="5" t="s">
        <v>17</v>
      </c>
    </row>
    <row r="21" customFormat="false" ht="36" hidden="false" customHeight="true" outlineLevel="0" collapsed="false">
      <c r="A21" s="6" t="s">
        <v>54</v>
      </c>
      <c r="B21" s="6" t="s">
        <v>14</v>
      </c>
      <c r="C21" s="6" t="s">
        <v>38</v>
      </c>
      <c r="D21" s="6" t="s">
        <v>55</v>
      </c>
      <c r="E21" s="6" t="s">
        <v>17</v>
      </c>
    </row>
    <row r="22" customFormat="false" ht="36" hidden="false" customHeight="true" outlineLevel="0" collapsed="false">
      <c r="A22" s="5" t="s">
        <v>56</v>
      </c>
      <c r="B22" s="5" t="s">
        <v>14</v>
      </c>
      <c r="C22" s="5" t="s">
        <v>57</v>
      </c>
      <c r="D22" s="5" t="s">
        <v>58</v>
      </c>
      <c r="E22" s="5" t="s">
        <v>17</v>
      </c>
    </row>
    <row r="23" customFormat="false" ht="36" hidden="false" customHeight="true" outlineLevel="0" collapsed="false">
      <c r="A23" s="6" t="s">
        <v>59</v>
      </c>
      <c r="B23" s="6" t="s">
        <v>14</v>
      </c>
      <c r="C23" s="6" t="s">
        <v>15</v>
      </c>
      <c r="D23" s="6" t="s">
        <v>60</v>
      </c>
      <c r="E23" s="6" t="s">
        <v>17</v>
      </c>
    </row>
    <row r="24" customFormat="false" ht="36" hidden="false" customHeight="true" outlineLevel="0" collapsed="false">
      <c r="A24" s="5" t="s">
        <v>61</v>
      </c>
      <c r="B24" s="5" t="s">
        <v>62</v>
      </c>
      <c r="C24" s="5" t="s">
        <v>57</v>
      </c>
      <c r="D24" s="5" t="s">
        <v>63</v>
      </c>
      <c r="E24" s="5" t="s">
        <v>17</v>
      </c>
    </row>
    <row r="25" customFormat="false" ht="24" hidden="false" customHeight="true" outlineLevel="0" collapsed="false">
      <c r="A25" s="7" t="s">
        <v>64</v>
      </c>
      <c r="B25" s="7"/>
      <c r="C25" s="7"/>
      <c r="D25" s="7"/>
      <c r="E25" s="7"/>
    </row>
    <row r="26" customFormat="false" ht="36" hidden="false" customHeight="true" outlineLevel="0" collapsed="false">
      <c r="A26" s="5" t="s">
        <v>65</v>
      </c>
      <c r="B26" s="5" t="s">
        <v>14</v>
      </c>
      <c r="C26" s="5" t="s">
        <v>66</v>
      </c>
      <c r="D26" s="5" t="s">
        <v>67</v>
      </c>
      <c r="E26" s="5" t="s">
        <v>17</v>
      </c>
    </row>
    <row r="27" customFormat="false" ht="36" hidden="false" customHeight="true" outlineLevel="0" collapsed="false">
      <c r="A27" s="6" t="s">
        <v>68</v>
      </c>
      <c r="B27" s="6" t="s">
        <v>14</v>
      </c>
      <c r="C27" s="6" t="s">
        <v>69</v>
      </c>
      <c r="D27" s="6" t="s">
        <v>70</v>
      </c>
      <c r="E27" s="6" t="s">
        <v>17</v>
      </c>
    </row>
    <row r="28" customFormat="false" ht="36" hidden="false" customHeight="true" outlineLevel="0" collapsed="false">
      <c r="A28" s="5" t="s">
        <v>71</v>
      </c>
      <c r="B28" s="5" t="s">
        <v>72</v>
      </c>
      <c r="C28" s="5" t="s">
        <v>73</v>
      </c>
      <c r="D28" s="5" t="s">
        <v>74</v>
      </c>
      <c r="E28" s="5" t="s">
        <v>17</v>
      </c>
    </row>
    <row r="29" customFormat="false" ht="36" hidden="false" customHeight="true" outlineLevel="0" collapsed="false">
      <c r="A29" s="6" t="s">
        <v>75</v>
      </c>
      <c r="B29" s="6" t="s">
        <v>76</v>
      </c>
      <c r="C29" s="6" t="s">
        <v>77</v>
      </c>
      <c r="D29" s="6" t="s">
        <v>78</v>
      </c>
      <c r="E29" s="6" t="s">
        <v>17</v>
      </c>
    </row>
    <row r="30" customFormat="false" ht="36" hidden="false" customHeight="true" outlineLevel="0" collapsed="false">
      <c r="A30" s="5" t="s">
        <v>79</v>
      </c>
      <c r="B30" s="5" t="s">
        <v>80</v>
      </c>
      <c r="C30" s="5" t="s">
        <v>81</v>
      </c>
      <c r="D30" s="5" t="s">
        <v>82</v>
      </c>
      <c r="E30" s="5" t="s">
        <v>17</v>
      </c>
    </row>
    <row r="31" customFormat="false" ht="36" hidden="false" customHeight="true" outlineLevel="0" collapsed="false">
      <c r="A31" s="6" t="s">
        <v>83</v>
      </c>
      <c r="B31" s="6" t="s">
        <v>28</v>
      </c>
      <c r="C31" s="6" t="s">
        <v>84</v>
      </c>
      <c r="D31" s="6" t="s">
        <v>85</v>
      </c>
      <c r="E31" s="6" t="s">
        <v>17</v>
      </c>
    </row>
    <row r="32" customFormat="false" ht="36" hidden="false" customHeight="true" outlineLevel="0" collapsed="false">
      <c r="A32" s="5" t="s">
        <v>86</v>
      </c>
      <c r="B32" s="5" t="s">
        <v>34</v>
      </c>
      <c r="C32" s="5" t="s">
        <v>87</v>
      </c>
      <c r="D32" s="5" t="s">
        <v>88</v>
      </c>
      <c r="E32" s="5" t="s">
        <v>17</v>
      </c>
    </row>
    <row r="33" customFormat="false" ht="36" hidden="false" customHeight="true" outlineLevel="0" collapsed="false">
      <c r="A33" s="6" t="s">
        <v>89</v>
      </c>
      <c r="B33" s="6" t="s">
        <v>25</v>
      </c>
      <c r="C33" s="6" t="s">
        <v>90</v>
      </c>
      <c r="D33" s="6" t="s">
        <v>91</v>
      </c>
      <c r="E33" s="6" t="s">
        <v>17</v>
      </c>
    </row>
    <row r="34" customFormat="false" ht="36" hidden="false" customHeight="true" outlineLevel="0" collapsed="false">
      <c r="A34" s="5" t="s">
        <v>92</v>
      </c>
      <c r="B34" s="5" t="s">
        <v>93</v>
      </c>
      <c r="C34" s="5" t="s">
        <v>90</v>
      </c>
      <c r="D34" s="5" t="s">
        <v>94</v>
      </c>
      <c r="E34" s="5" t="s">
        <v>17</v>
      </c>
    </row>
    <row r="35" customFormat="false" ht="36" hidden="false" customHeight="true" outlineLevel="0" collapsed="false">
      <c r="A35" s="6" t="s">
        <v>95</v>
      </c>
      <c r="B35" s="6" t="s">
        <v>96</v>
      </c>
      <c r="C35" s="6" t="s">
        <v>97</v>
      </c>
      <c r="D35" s="6" t="s">
        <v>98</v>
      </c>
      <c r="E35" s="6" t="s">
        <v>17</v>
      </c>
    </row>
    <row r="36" customFormat="false" ht="24" hidden="false" customHeight="true" outlineLevel="0" collapsed="false">
      <c r="A36" s="8" t="s">
        <v>99</v>
      </c>
      <c r="B36" s="8"/>
      <c r="C36" s="8"/>
      <c r="D36" s="8"/>
      <c r="E36" s="8"/>
    </row>
    <row r="37" customFormat="false" ht="36" hidden="false" customHeight="true" outlineLevel="0" collapsed="false">
      <c r="A37" s="5" t="s">
        <v>100</v>
      </c>
      <c r="B37" s="5" t="s">
        <v>101</v>
      </c>
      <c r="C37" s="5" t="s">
        <v>102</v>
      </c>
      <c r="D37" s="5" t="s">
        <v>103</v>
      </c>
      <c r="E37" s="5" t="s">
        <v>17</v>
      </c>
    </row>
    <row r="38" customFormat="false" ht="36" hidden="false" customHeight="true" outlineLevel="0" collapsed="false">
      <c r="A38" s="6" t="s">
        <v>104</v>
      </c>
      <c r="B38" s="6" t="s">
        <v>14</v>
      </c>
      <c r="C38" s="6" t="s">
        <v>105</v>
      </c>
      <c r="D38" s="6" t="s">
        <v>106</v>
      </c>
      <c r="E38" s="6" t="s">
        <v>17</v>
      </c>
    </row>
    <row r="39" customFormat="false" ht="36" hidden="false" customHeight="true" outlineLevel="0" collapsed="false">
      <c r="A39" s="5" t="s">
        <v>107</v>
      </c>
      <c r="B39" s="5" t="s">
        <v>108</v>
      </c>
      <c r="C39" s="5" t="s">
        <v>109</v>
      </c>
      <c r="D39" s="5" t="s">
        <v>110</v>
      </c>
      <c r="E39" s="5" t="s">
        <v>17</v>
      </c>
    </row>
    <row r="40" customFormat="false" ht="36" hidden="false" customHeight="true" outlineLevel="0" collapsed="false">
      <c r="A40" s="6" t="s">
        <v>111</v>
      </c>
      <c r="B40" s="6" t="s">
        <v>112</v>
      </c>
      <c r="C40" s="6" t="s">
        <v>113</v>
      </c>
      <c r="D40" s="6" t="s">
        <v>114</v>
      </c>
      <c r="E40" s="6" t="s">
        <v>17</v>
      </c>
    </row>
    <row r="41" customFormat="false" ht="36" hidden="false" customHeight="true" outlineLevel="0" collapsed="false">
      <c r="A41" s="5" t="s">
        <v>115</v>
      </c>
      <c r="B41" s="5" t="s">
        <v>37</v>
      </c>
      <c r="C41" s="5" t="s">
        <v>116</v>
      </c>
      <c r="D41" s="5" t="s">
        <v>117</v>
      </c>
      <c r="E41" s="5" t="s">
        <v>17</v>
      </c>
    </row>
    <row r="42" customFormat="false" ht="36" hidden="false" customHeight="true" outlineLevel="0" collapsed="false">
      <c r="A42" s="6" t="s">
        <v>118</v>
      </c>
      <c r="B42" s="6" t="s">
        <v>14</v>
      </c>
      <c r="C42" s="6" t="s">
        <v>119</v>
      </c>
      <c r="D42" s="6" t="s">
        <v>120</v>
      </c>
      <c r="E42" s="6" t="s">
        <v>17</v>
      </c>
    </row>
    <row r="43" customFormat="false" ht="36" hidden="false" customHeight="true" outlineLevel="0" collapsed="false">
      <c r="A43" s="5" t="s">
        <v>121</v>
      </c>
      <c r="B43" s="5" t="s">
        <v>101</v>
      </c>
      <c r="C43" s="5" t="s">
        <v>122</v>
      </c>
      <c r="D43" s="5" t="s">
        <v>123</v>
      </c>
      <c r="E43" s="5" t="s">
        <v>17</v>
      </c>
    </row>
    <row r="44" customFormat="false" ht="36" hidden="false" customHeight="true" outlineLevel="0" collapsed="false">
      <c r="A44" s="6" t="s">
        <v>124</v>
      </c>
      <c r="B44" s="6" t="s">
        <v>101</v>
      </c>
      <c r="C44" s="6" t="s">
        <v>125</v>
      </c>
      <c r="D44" s="6" t="s">
        <v>126</v>
      </c>
      <c r="E44" s="6" t="s">
        <v>17</v>
      </c>
    </row>
    <row r="45" customFormat="false" ht="36" hidden="false" customHeight="true" outlineLevel="0" collapsed="false">
      <c r="A45" s="5" t="s">
        <v>127</v>
      </c>
      <c r="B45" s="5" t="s">
        <v>14</v>
      </c>
      <c r="C45" s="5" t="s">
        <v>128</v>
      </c>
      <c r="D45" s="5" t="s">
        <v>129</v>
      </c>
      <c r="E45" s="5" t="s">
        <v>17</v>
      </c>
    </row>
    <row r="46" customFormat="false" ht="36" hidden="false" customHeight="true" outlineLevel="0" collapsed="false">
      <c r="A46" s="6" t="s">
        <v>130</v>
      </c>
      <c r="B46" s="6" t="s">
        <v>34</v>
      </c>
      <c r="C46" s="6" t="s">
        <v>131</v>
      </c>
      <c r="D46" s="6" t="s">
        <v>132</v>
      </c>
      <c r="E46" s="6" t="s">
        <v>17</v>
      </c>
    </row>
  </sheetData>
  <mergeCells count="5">
    <mergeCell ref="A1:E1"/>
    <mergeCell ref="A2:E2"/>
    <mergeCell ref="A5:E5"/>
    <mergeCell ref="A25:E25"/>
    <mergeCell ref="A36:E36"/>
  </mergeCells>
  <conditionalFormatting sqref="E5:E47">
    <cfRule type="cellIs" priority="2" operator="equal" aboveAverage="0" equalAverage="0" bottom="0" percent="0" rank="0" text="" dxfId="0">
      <formula>"Kész"</formula>
    </cfRule>
    <cfRule type="cellIs" priority="3" operator="equal" aboveAverage="0" equalAverage="0" bottom="0" percent="0" rank="0" text="" dxfId="1">
      <formula>"Folyamatban"</formula>
    </cfRule>
    <cfRule type="cellIs" priority="4" operator="equal" aboveAverage="0" equalAverage="0" bottom="0" percent="0" rank="0" text="" dxfId="2">
      <formula>"Blokkolt"</formula>
    </cfRule>
    <cfRule type="cellIs" priority="5" operator="equal" aboveAverage="0" equalAverage="0" bottom="0" percent="0" rank="0" text="" dxfId="3">
      <formula>"Nincs adat"</formula>
    </cfRule>
  </conditionalFormatting>
  <dataValidations count="1">
    <dataValidation allowBlank="true" errorStyle="stop" operator="between" showDropDown="false" showErrorMessage="false" showInputMessage="false" sqref="E5:E47" type="list">
      <formula1>"Nincs adat,Folyamatban,Kész,Blokkolt,N/A"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9" t="s">
        <v>133</v>
      </c>
      <c r="B1" s="9" t="s">
        <v>134</v>
      </c>
      <c r="C1" s="9" t="s">
        <v>135</v>
      </c>
      <c r="D1" s="9" t="s">
        <v>12</v>
      </c>
      <c r="E1" s="9" t="s">
        <v>136</v>
      </c>
      <c r="F1" s="9" t="s">
        <v>17</v>
      </c>
      <c r="G1" s="9" t="s">
        <v>137</v>
      </c>
    </row>
    <row r="2" customFormat="false" ht="15" hidden="false" customHeight="false" outlineLevel="0" collapsed="false">
      <c r="A2" s="10" t="s">
        <v>138</v>
      </c>
      <c r="B2" s="10" t="n">
        <v>19</v>
      </c>
      <c r="C2" s="10" t="n">
        <f aca="false">COUNTIF('Data Completion Board'!E6:E24,"Kész")</f>
        <v>0</v>
      </c>
      <c r="D2" s="10" t="n">
        <f aca="false">COUNTIF('Data Completion Board'!E6:E24,"Folyamatban")</f>
        <v>1</v>
      </c>
      <c r="E2" s="10" t="n">
        <f aca="false">COUNTIF('Data Completion Board'!E6:E24,"Blokkolt")</f>
        <v>0</v>
      </c>
      <c r="F2" s="10" t="n">
        <f aca="false">COUNTIF('Data Completion Board'!E6:E24,"Nincs adat")</f>
        <v>18</v>
      </c>
      <c r="G2" s="11" t="n">
        <f aca="false">IFERROR(C2/B2,0)</f>
        <v>0</v>
      </c>
    </row>
    <row r="3" customFormat="false" ht="15" hidden="false" customHeight="false" outlineLevel="0" collapsed="false">
      <c r="A3" s="10" t="s">
        <v>139</v>
      </c>
      <c r="B3" s="10" t="n">
        <v>10</v>
      </c>
      <c r="C3" s="10" t="n">
        <f aca="false">COUNTIF('Data Completion Board'!E26:E35,"Kész")</f>
        <v>0</v>
      </c>
      <c r="D3" s="10" t="n">
        <f aca="false">COUNTIF('Data Completion Board'!E26:E35,"Folyamatban")</f>
        <v>0</v>
      </c>
      <c r="E3" s="10" t="n">
        <f aca="false">COUNTIF('Data Completion Board'!E26:E35,"Blokkolt")</f>
        <v>0</v>
      </c>
      <c r="F3" s="10" t="n">
        <f aca="false">COUNTIF('Data Completion Board'!E26:E35,"Nincs adat")</f>
        <v>10</v>
      </c>
      <c r="G3" s="11" t="n">
        <f aca="false">IFERROR(C3/B3,0)</f>
        <v>0</v>
      </c>
    </row>
    <row r="4" customFormat="false" ht="15" hidden="false" customHeight="false" outlineLevel="0" collapsed="false">
      <c r="A4" s="10" t="s">
        <v>140</v>
      </c>
      <c r="B4" s="10" t="n">
        <v>10</v>
      </c>
      <c r="C4" s="10" t="n">
        <f aca="false">COUNTIF('Data Completion Board'!E37:E46,"Kész")</f>
        <v>0</v>
      </c>
      <c r="D4" s="10" t="n">
        <f aca="false">COUNTIF('Data Completion Board'!E37:E46,"Folyamatban")</f>
        <v>0</v>
      </c>
      <c r="E4" s="10" t="n">
        <f aca="false">COUNTIF('Data Completion Board'!E37:E46,"Blokkolt")</f>
        <v>0</v>
      </c>
      <c r="F4" s="10" t="n">
        <f aca="false">COUNTIF('Data Completion Board'!E37:E46,"Nincs adat")</f>
        <v>10</v>
      </c>
      <c r="G4" s="11" t="n">
        <f aca="false">IFERROR(C4/B4,0)</f>
        <v>0</v>
      </c>
    </row>
    <row r="5" customFormat="false" ht="15" hidden="false" customHeight="false" outlineLevel="0" collapsed="false">
      <c r="A5" s="12" t="s">
        <v>141</v>
      </c>
      <c r="B5" s="12" t="n">
        <f aca="false">SUM(B2:B4)</f>
        <v>39</v>
      </c>
      <c r="C5" s="12" t="n">
        <f aca="false">SUM(C2:C4)</f>
        <v>0</v>
      </c>
      <c r="D5" s="12" t="n">
        <f aca="false">SUM(D2:D4)</f>
        <v>1</v>
      </c>
      <c r="E5" s="12" t="n">
        <f aca="false">SUM(E2:E4)</f>
        <v>0</v>
      </c>
      <c r="F5" s="12" t="n">
        <f aca="false">SUM(F2:F4)</f>
        <v>38</v>
      </c>
      <c r="G5" s="13" t="n">
        <f aca="false">IFERROR(C5/B5,0)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2026-05-15T09:00:21Z</dcterms:created>
  <dc:creator>openpyxl</dc:creator>
  <dc:description/>
  <dc:language>en-US</dc:language>
  <cp:lastModifiedBy/>
  <dcterms:modified xsi:type="dcterms:W3CDTF">2026-05-15T09:00:21Z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