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60120" yWindow="-120" windowWidth="25440" windowHeight="15990" activeTab="8"/>
  </bookViews>
  <sheets>
    <sheet name="2208 (2)" sheetId="6" r:id="rId1"/>
    <sheet name="Munka1" sheetId="1" r:id="rId2"/>
    <sheet name="OSSZEFUGESEK" sheetId="2" r:id="rId3"/>
    <sheet name="Munka3" sheetId="3" r:id="rId4"/>
    <sheet name="URES" sheetId="7" r:id="rId5"/>
    <sheet name="1909" sheetId="4" r:id="rId6"/>
    <sheet name="2409" sheetId="9" r:id="rId7"/>
    <sheet name="3009" sheetId="10" r:id="rId8"/>
    <sheet name="3009P" sheetId="11" r:id="rId9"/>
  </sheets>
  <externalReferences>
    <externalReference r:id="rId10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1"/>
  <c r="O45"/>
  <c r="L42"/>
  <c r="M42" s="1"/>
  <c r="N42" s="1"/>
  <c r="C41"/>
  <c r="Q40"/>
  <c r="S39"/>
  <c r="Q39"/>
  <c r="K39"/>
  <c r="A39"/>
  <c r="S38"/>
  <c r="Q38"/>
  <c r="K38"/>
  <c r="A38"/>
  <c r="S37"/>
  <c r="Q37"/>
  <c r="K37"/>
  <c r="A37"/>
  <c r="U36"/>
  <c r="S36"/>
  <c r="Q36"/>
  <c r="K36"/>
  <c r="A36"/>
  <c r="S35"/>
  <c r="Q35"/>
  <c r="K35"/>
  <c r="A35"/>
  <c r="S34"/>
  <c r="Q34"/>
  <c r="K34"/>
  <c r="A34"/>
  <c r="S33"/>
  <c r="Q33"/>
  <c r="K33"/>
  <c r="A33"/>
  <c r="U32"/>
  <c r="S32"/>
  <c r="Q32"/>
  <c r="K32"/>
  <c r="A32"/>
  <c r="S31"/>
  <c r="Q31"/>
  <c r="K31"/>
  <c r="A31"/>
  <c r="S30"/>
  <c r="Q30"/>
  <c r="K30"/>
  <c r="A30"/>
  <c r="S29"/>
  <c r="Q29"/>
  <c r="K29"/>
  <c r="A29"/>
  <c r="U28"/>
  <c r="S28"/>
  <c r="Q28"/>
  <c r="K28"/>
  <c r="A28"/>
  <c r="S27"/>
  <c r="Q27"/>
  <c r="K27"/>
  <c r="A27"/>
  <c r="S26"/>
  <c r="Q26"/>
  <c r="K26"/>
  <c r="A26"/>
  <c r="S25"/>
  <c r="Q25"/>
  <c r="K25"/>
  <c r="A25"/>
  <c r="U24"/>
  <c r="S24"/>
  <c r="Q24"/>
  <c r="K24"/>
  <c r="A24"/>
  <c r="S23"/>
  <c r="Q23"/>
  <c r="K23"/>
  <c r="A23"/>
  <c r="S22"/>
  <c r="Q22"/>
  <c r="K22"/>
  <c r="A22"/>
  <c r="S21"/>
  <c r="Q21"/>
  <c r="K21"/>
  <c r="A21"/>
  <c r="U20"/>
  <c r="S20"/>
  <c r="Q20"/>
  <c r="K20"/>
  <c r="A20"/>
  <c r="S19"/>
  <c r="Q19"/>
  <c r="K19"/>
  <c r="A19"/>
  <c r="U18"/>
  <c r="S18"/>
  <c r="Q18"/>
  <c r="K18"/>
  <c r="A18"/>
  <c r="S17"/>
  <c r="Q17"/>
  <c r="K17"/>
  <c r="A17"/>
  <c r="S16"/>
  <c r="Q16"/>
  <c r="K16"/>
  <c r="A16"/>
  <c r="S15"/>
  <c r="Q15"/>
  <c r="K15"/>
  <c r="A15"/>
  <c r="S14"/>
  <c r="Q14"/>
  <c r="K14"/>
  <c r="A14"/>
  <c r="S13"/>
  <c r="Q13"/>
  <c r="K13"/>
  <c r="X12"/>
  <c r="S10"/>
  <c r="Q10"/>
  <c r="N10"/>
  <c r="C10"/>
  <c r="P8"/>
  <c r="N7"/>
  <c r="N6"/>
  <c r="E6"/>
  <c r="R5"/>
  <c r="P5"/>
  <c r="P7" s="1"/>
  <c r="B4"/>
  <c r="B3"/>
  <c r="A7" s="1"/>
  <c r="S45" i="10"/>
  <c r="R45"/>
  <c r="O45"/>
  <c r="C41"/>
  <c r="Q40"/>
  <c r="S39"/>
  <c r="Q39"/>
  <c r="K39"/>
  <c r="U38"/>
  <c r="S38"/>
  <c r="Q38"/>
  <c r="K38"/>
  <c r="U37"/>
  <c r="S37"/>
  <c r="R37" s="1"/>
  <c r="Q37"/>
  <c r="K37"/>
  <c r="D37"/>
  <c r="H37" s="1"/>
  <c r="J37" s="1"/>
  <c r="S36"/>
  <c r="Q36"/>
  <c r="K36"/>
  <c r="D36"/>
  <c r="E36" s="1"/>
  <c r="S35"/>
  <c r="Q35"/>
  <c r="K35"/>
  <c r="U34"/>
  <c r="S34"/>
  <c r="Q34"/>
  <c r="K34"/>
  <c r="U33"/>
  <c r="S33"/>
  <c r="Q33"/>
  <c r="K33"/>
  <c r="D33"/>
  <c r="S32"/>
  <c r="Q32"/>
  <c r="K32"/>
  <c r="D32"/>
  <c r="E32" s="1"/>
  <c r="S31"/>
  <c r="Q31"/>
  <c r="K31"/>
  <c r="U30"/>
  <c r="S30"/>
  <c r="Q30"/>
  <c r="K30"/>
  <c r="U29"/>
  <c r="S29"/>
  <c r="Q29"/>
  <c r="K29"/>
  <c r="D29"/>
  <c r="H29" s="1"/>
  <c r="J29" s="1"/>
  <c r="S28"/>
  <c r="Q28"/>
  <c r="K28"/>
  <c r="D28"/>
  <c r="E28" s="1"/>
  <c r="S27"/>
  <c r="Q27"/>
  <c r="K27"/>
  <c r="U26"/>
  <c r="S26"/>
  <c r="Q26"/>
  <c r="K26"/>
  <c r="U25"/>
  <c r="S25"/>
  <c r="Q25"/>
  <c r="K25"/>
  <c r="D25"/>
  <c r="S24"/>
  <c r="Q24"/>
  <c r="K24"/>
  <c r="D24"/>
  <c r="E24" s="1"/>
  <c r="S23"/>
  <c r="Q23"/>
  <c r="K23"/>
  <c r="U22"/>
  <c r="S22"/>
  <c r="Q22"/>
  <c r="K22"/>
  <c r="U21"/>
  <c r="S21"/>
  <c r="Q21"/>
  <c r="K21"/>
  <c r="D21"/>
  <c r="H21" s="1"/>
  <c r="J21" s="1"/>
  <c r="S20"/>
  <c r="Q20"/>
  <c r="K20"/>
  <c r="D20"/>
  <c r="E20" s="1"/>
  <c r="S19"/>
  <c r="Q19"/>
  <c r="K19"/>
  <c r="U18"/>
  <c r="S18"/>
  <c r="Q18"/>
  <c r="K18"/>
  <c r="U17"/>
  <c r="S17"/>
  <c r="Q17"/>
  <c r="K17"/>
  <c r="D17"/>
  <c r="S16"/>
  <c r="Q16"/>
  <c r="K16"/>
  <c r="U15"/>
  <c r="S15"/>
  <c r="Q15"/>
  <c r="K15"/>
  <c r="D15"/>
  <c r="H15" s="1"/>
  <c r="J15" s="1"/>
  <c r="S14"/>
  <c r="Q14"/>
  <c r="K14"/>
  <c r="U13"/>
  <c r="S13"/>
  <c r="Q13"/>
  <c r="K13"/>
  <c r="D13"/>
  <c r="A13"/>
  <c r="A38" s="1"/>
  <c r="X12"/>
  <c r="U39" s="1"/>
  <c r="P11"/>
  <c r="S10"/>
  <c r="R10" s="1"/>
  <c r="Q10"/>
  <c r="N10"/>
  <c r="L37" s="1"/>
  <c r="M37" s="1"/>
  <c r="N37" s="1"/>
  <c r="O37" s="1"/>
  <c r="D10"/>
  <c r="P45" s="1"/>
  <c r="P8"/>
  <c r="N7"/>
  <c r="N6"/>
  <c r="E6"/>
  <c r="R5"/>
  <c r="P5" s="1"/>
  <c r="P7" s="1"/>
  <c r="R7" s="1"/>
  <c r="B4"/>
  <c r="C10" s="1"/>
  <c r="C11" s="1"/>
  <c r="B3"/>
  <c r="A7" s="1"/>
  <c r="A13" i="9"/>
  <c r="A38" s="1"/>
  <c r="R45"/>
  <c r="O45"/>
  <c r="C41"/>
  <c r="Q40"/>
  <c r="S39"/>
  <c r="Q39"/>
  <c r="K39"/>
  <c r="S38"/>
  <c r="Q38"/>
  <c r="K38"/>
  <c r="S37"/>
  <c r="Q37"/>
  <c r="K37"/>
  <c r="S36"/>
  <c r="Q36"/>
  <c r="K36"/>
  <c r="S35"/>
  <c r="Q35"/>
  <c r="K35"/>
  <c r="S34"/>
  <c r="Q34"/>
  <c r="K34"/>
  <c r="S33"/>
  <c r="Q33"/>
  <c r="K33"/>
  <c r="S32"/>
  <c r="Q32"/>
  <c r="K32"/>
  <c r="S31"/>
  <c r="Q31"/>
  <c r="K31"/>
  <c r="S30"/>
  <c r="Q30"/>
  <c r="K30"/>
  <c r="S29"/>
  <c r="Q29"/>
  <c r="K29"/>
  <c r="A29"/>
  <c r="S28"/>
  <c r="Q28"/>
  <c r="K28"/>
  <c r="A28"/>
  <c r="S27"/>
  <c r="Q27"/>
  <c r="K27"/>
  <c r="A27"/>
  <c r="S26"/>
  <c r="Q26"/>
  <c r="K26"/>
  <c r="A26"/>
  <c r="S25"/>
  <c r="Q25"/>
  <c r="K25"/>
  <c r="A25"/>
  <c r="S24"/>
  <c r="Q24"/>
  <c r="K24"/>
  <c r="A24"/>
  <c r="S23"/>
  <c r="Q23"/>
  <c r="K23"/>
  <c r="A23"/>
  <c r="S22"/>
  <c r="Q22"/>
  <c r="K22"/>
  <c r="A22"/>
  <c r="S21"/>
  <c r="Q21"/>
  <c r="K21"/>
  <c r="A21"/>
  <c r="S20"/>
  <c r="Q20"/>
  <c r="K20"/>
  <c r="A20"/>
  <c r="S19"/>
  <c r="Q19"/>
  <c r="K19"/>
  <c r="A19"/>
  <c r="S18"/>
  <c r="Q18"/>
  <c r="K18"/>
  <c r="A18"/>
  <c r="S17"/>
  <c r="Q17"/>
  <c r="K17"/>
  <c r="A17"/>
  <c r="U16"/>
  <c r="S16"/>
  <c r="Q16"/>
  <c r="K16"/>
  <c r="S15"/>
  <c r="Q15"/>
  <c r="K15"/>
  <c r="U14"/>
  <c r="S14"/>
  <c r="Q14"/>
  <c r="K14"/>
  <c r="S13"/>
  <c r="Q13"/>
  <c r="K13"/>
  <c r="X12"/>
  <c r="S10"/>
  <c r="Q10"/>
  <c r="N10"/>
  <c r="L16" s="1"/>
  <c r="M16" s="1"/>
  <c r="N16" s="1"/>
  <c r="O16" s="1"/>
  <c r="C10"/>
  <c r="P8"/>
  <c r="N7"/>
  <c r="N6"/>
  <c r="E6"/>
  <c r="R5"/>
  <c r="P5"/>
  <c r="P7" s="1"/>
  <c r="R7" s="1"/>
  <c r="B4"/>
  <c r="B3"/>
  <c r="A7" s="1"/>
  <c r="B50" i="4"/>
  <c r="A51" s="1"/>
  <c r="B51"/>
  <c r="C57" s="1"/>
  <c r="C58" s="1"/>
  <c r="B52"/>
  <c r="P52"/>
  <c r="R52"/>
  <c r="E53"/>
  <c r="N53"/>
  <c r="A54"/>
  <c r="C54"/>
  <c r="D54"/>
  <c r="H54"/>
  <c r="N54"/>
  <c r="P54"/>
  <c r="R54"/>
  <c r="P55"/>
  <c r="D57"/>
  <c r="N57"/>
  <c r="N58" s="1"/>
  <c r="O57"/>
  <c r="Q57"/>
  <c r="S57"/>
  <c r="R57" s="1"/>
  <c r="P58"/>
  <c r="X59"/>
  <c r="D60"/>
  <c r="F60" s="1"/>
  <c r="E60"/>
  <c r="K60"/>
  <c r="L60"/>
  <c r="M60"/>
  <c r="N60" s="1"/>
  <c r="Q60"/>
  <c r="S60"/>
  <c r="U60"/>
  <c r="A61"/>
  <c r="D61"/>
  <c r="E61"/>
  <c r="K61"/>
  <c r="L61"/>
  <c r="M61"/>
  <c r="N61"/>
  <c r="O61"/>
  <c r="Q61"/>
  <c r="S61"/>
  <c r="R61" s="1"/>
  <c r="U61"/>
  <c r="F61" s="1"/>
  <c r="G61" s="1"/>
  <c r="H61" s="1"/>
  <c r="A62"/>
  <c r="D62"/>
  <c r="F62" s="1"/>
  <c r="G62" s="1"/>
  <c r="E62"/>
  <c r="H62"/>
  <c r="J62" s="1"/>
  <c r="I62"/>
  <c r="K62"/>
  <c r="L62"/>
  <c r="M62"/>
  <c r="N62" s="1"/>
  <c r="Q62"/>
  <c r="S62"/>
  <c r="U62"/>
  <c r="A63"/>
  <c r="D63"/>
  <c r="E63"/>
  <c r="K63"/>
  <c r="L63"/>
  <c r="M63"/>
  <c r="N63"/>
  <c r="O63"/>
  <c r="Q63"/>
  <c r="S63"/>
  <c r="R63" s="1"/>
  <c r="U63"/>
  <c r="F63" s="1"/>
  <c r="G63" s="1"/>
  <c r="H63" s="1"/>
  <c r="A64"/>
  <c r="D64"/>
  <c r="F64" s="1"/>
  <c r="G64" s="1"/>
  <c r="H64" s="1"/>
  <c r="E64"/>
  <c r="K64"/>
  <c r="L64"/>
  <c r="M64"/>
  <c r="N64" s="1"/>
  <c r="Q64"/>
  <c r="S64"/>
  <c r="U64"/>
  <c r="A65"/>
  <c r="D65"/>
  <c r="K65"/>
  <c r="L65"/>
  <c r="M65" s="1"/>
  <c r="N65" s="1"/>
  <c r="O65" s="1"/>
  <c r="Q65"/>
  <c r="S65"/>
  <c r="U65"/>
  <c r="A66"/>
  <c r="D66"/>
  <c r="E66"/>
  <c r="K66"/>
  <c r="I66" s="1"/>
  <c r="L66"/>
  <c r="M66"/>
  <c r="N66"/>
  <c r="O66"/>
  <c r="Q66"/>
  <c r="S66"/>
  <c r="R66" s="1"/>
  <c r="U66"/>
  <c r="F66" s="1"/>
  <c r="G66" s="1"/>
  <c r="H66" s="1"/>
  <c r="A67"/>
  <c r="D67"/>
  <c r="E67" s="1"/>
  <c r="F67"/>
  <c r="G67" s="1"/>
  <c r="K67"/>
  <c r="L67"/>
  <c r="M67"/>
  <c r="N67" s="1"/>
  <c r="O67" s="1"/>
  <c r="Q67"/>
  <c r="S67"/>
  <c r="U67"/>
  <c r="A68"/>
  <c r="D68"/>
  <c r="F68" s="1"/>
  <c r="G68" s="1"/>
  <c r="K68"/>
  <c r="L68"/>
  <c r="M68"/>
  <c r="N68" s="1"/>
  <c r="Q68"/>
  <c r="S68"/>
  <c r="U68"/>
  <c r="A69"/>
  <c r="D69"/>
  <c r="K69"/>
  <c r="L69"/>
  <c r="M69" s="1"/>
  <c r="N69" s="1"/>
  <c r="O69" s="1"/>
  <c r="Q69"/>
  <c r="S69"/>
  <c r="U69"/>
  <c r="A70"/>
  <c r="D70"/>
  <c r="E70" s="1"/>
  <c r="K70"/>
  <c r="L70"/>
  <c r="M70" s="1"/>
  <c r="N70" s="1"/>
  <c r="O70" s="1"/>
  <c r="Q70"/>
  <c r="S70"/>
  <c r="R70" s="1"/>
  <c r="U70"/>
  <c r="F70" s="1"/>
  <c r="G70" s="1"/>
  <c r="H70" s="1"/>
  <c r="A71"/>
  <c r="D71"/>
  <c r="E71"/>
  <c r="F71"/>
  <c r="G71" s="1"/>
  <c r="H71"/>
  <c r="I71"/>
  <c r="J71"/>
  <c r="K71"/>
  <c r="L71"/>
  <c r="M71"/>
  <c r="N71"/>
  <c r="O71" s="1"/>
  <c r="Q71"/>
  <c r="S71"/>
  <c r="R71" s="1"/>
  <c r="U71"/>
  <c r="A72"/>
  <c r="D72"/>
  <c r="F72" s="1"/>
  <c r="G72" s="1"/>
  <c r="H72" s="1"/>
  <c r="E72"/>
  <c r="K72"/>
  <c r="L72"/>
  <c r="M72"/>
  <c r="N72" s="1"/>
  <c r="Q72"/>
  <c r="S72"/>
  <c r="U72"/>
  <c r="A73"/>
  <c r="D73"/>
  <c r="F73" s="1"/>
  <c r="G73" s="1"/>
  <c r="K73"/>
  <c r="L73"/>
  <c r="M73" s="1"/>
  <c r="N73" s="1"/>
  <c r="O73" s="1"/>
  <c r="Q73"/>
  <c r="S73"/>
  <c r="U73"/>
  <c r="A74"/>
  <c r="D74"/>
  <c r="E74" s="1"/>
  <c r="H74"/>
  <c r="J74"/>
  <c r="K74"/>
  <c r="I74" s="1"/>
  <c r="L74"/>
  <c r="M74" s="1"/>
  <c r="N74" s="1"/>
  <c r="O74" s="1"/>
  <c r="Q74"/>
  <c r="S74"/>
  <c r="R74" s="1"/>
  <c r="U74"/>
  <c r="F74" s="1"/>
  <c r="G74" s="1"/>
  <c r="A75"/>
  <c r="D75"/>
  <c r="E75"/>
  <c r="F75"/>
  <c r="G75" s="1"/>
  <c r="H75" s="1"/>
  <c r="K75"/>
  <c r="L75"/>
  <c r="M75"/>
  <c r="N75"/>
  <c r="O75" s="1"/>
  <c r="Q75"/>
  <c r="S75"/>
  <c r="R75" s="1"/>
  <c r="U75"/>
  <c r="A76"/>
  <c r="D76"/>
  <c r="F76" s="1"/>
  <c r="G76" s="1"/>
  <c r="E76"/>
  <c r="H76"/>
  <c r="J76" s="1"/>
  <c r="I76"/>
  <c r="K76"/>
  <c r="L76"/>
  <c r="M76"/>
  <c r="N76" s="1"/>
  <c r="Q76"/>
  <c r="S76"/>
  <c r="U76"/>
  <c r="A77"/>
  <c r="D77"/>
  <c r="F77" s="1"/>
  <c r="G77" s="1"/>
  <c r="H77" s="1"/>
  <c r="K77"/>
  <c r="L77"/>
  <c r="M77" s="1"/>
  <c r="N77" s="1"/>
  <c r="O77" s="1"/>
  <c r="Q77"/>
  <c r="S77"/>
  <c r="R77" s="1"/>
  <c r="U77"/>
  <c r="A78"/>
  <c r="D78"/>
  <c r="E78" s="1"/>
  <c r="K78"/>
  <c r="L78"/>
  <c r="M78" s="1"/>
  <c r="N78" s="1"/>
  <c r="O78" s="1"/>
  <c r="Q78"/>
  <c r="S78"/>
  <c r="R78" s="1"/>
  <c r="U78"/>
  <c r="F78" s="1"/>
  <c r="G78" s="1"/>
  <c r="H78" s="1"/>
  <c r="A79"/>
  <c r="D79"/>
  <c r="E79"/>
  <c r="F79"/>
  <c r="G79" s="1"/>
  <c r="H79"/>
  <c r="I79"/>
  <c r="J79"/>
  <c r="K79"/>
  <c r="L79"/>
  <c r="M79"/>
  <c r="N79"/>
  <c r="O79" s="1"/>
  <c r="Q79"/>
  <c r="S79"/>
  <c r="R79" s="1"/>
  <c r="U79"/>
  <c r="A80"/>
  <c r="D80"/>
  <c r="F80" s="1"/>
  <c r="G80" s="1"/>
  <c r="H80" s="1"/>
  <c r="E80"/>
  <c r="K80"/>
  <c r="L80"/>
  <c r="M80"/>
  <c r="N80" s="1"/>
  <c r="Q80"/>
  <c r="S80"/>
  <c r="U80"/>
  <c r="A81"/>
  <c r="D81"/>
  <c r="F81" s="1"/>
  <c r="G81" s="1"/>
  <c r="K81"/>
  <c r="L81"/>
  <c r="M81" s="1"/>
  <c r="N81" s="1"/>
  <c r="O81" s="1"/>
  <c r="Q81"/>
  <c r="S81"/>
  <c r="U81"/>
  <c r="A82"/>
  <c r="D82"/>
  <c r="E82" s="1"/>
  <c r="K82"/>
  <c r="L82"/>
  <c r="M82" s="1"/>
  <c r="N82" s="1"/>
  <c r="O82" s="1"/>
  <c r="Q82"/>
  <c r="S82"/>
  <c r="R82" s="1"/>
  <c r="U82"/>
  <c r="F82" s="1"/>
  <c r="G82" s="1"/>
  <c r="H82" s="1"/>
  <c r="A83"/>
  <c r="D83"/>
  <c r="E83" s="1"/>
  <c r="K83"/>
  <c r="L83"/>
  <c r="M83" s="1"/>
  <c r="N83" s="1"/>
  <c r="O83" s="1"/>
  <c r="Q83"/>
  <c r="S83"/>
  <c r="U83"/>
  <c r="F83" s="1"/>
  <c r="G83" s="1"/>
  <c r="A84"/>
  <c r="D84"/>
  <c r="E84"/>
  <c r="H84"/>
  <c r="J84" s="1"/>
  <c r="K84"/>
  <c r="I84" s="1"/>
  <c r="L84"/>
  <c r="M84" s="1"/>
  <c r="N84" s="1"/>
  <c r="Q84"/>
  <c r="S84"/>
  <c r="U84"/>
  <c r="A85"/>
  <c r="D85"/>
  <c r="K85"/>
  <c r="L85"/>
  <c r="M85" s="1"/>
  <c r="N85" s="1"/>
  <c r="O85" s="1"/>
  <c r="Q85"/>
  <c r="S85"/>
  <c r="U85"/>
  <c r="A86"/>
  <c r="D86"/>
  <c r="E86" s="1"/>
  <c r="K86"/>
  <c r="L86"/>
  <c r="M86" s="1"/>
  <c r="N86" s="1"/>
  <c r="O86" s="1"/>
  <c r="Q86"/>
  <c r="S86"/>
  <c r="R86" s="1"/>
  <c r="U86"/>
  <c r="F86" s="1"/>
  <c r="G86" s="1"/>
  <c r="H86" s="1"/>
  <c r="D87"/>
  <c r="E87" s="1"/>
  <c r="F87"/>
  <c r="G87"/>
  <c r="H87" s="1"/>
  <c r="L87"/>
  <c r="M87" s="1"/>
  <c r="N87" s="1"/>
  <c r="Q87"/>
  <c r="C88"/>
  <c r="P88"/>
  <c r="Q88"/>
  <c r="L89"/>
  <c r="M89" s="1"/>
  <c r="N89" s="1"/>
  <c r="O92"/>
  <c r="P92" s="1"/>
  <c r="R92"/>
  <c r="S92"/>
  <c r="T47"/>
  <c r="T46"/>
  <c r="T44"/>
  <c r="T43"/>
  <c r="U35" i="7"/>
  <c r="N3"/>
  <c r="N2"/>
  <c r="E2"/>
  <c r="P3"/>
  <c r="D10" i="4"/>
  <c r="B3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14"/>
  <c r="C10"/>
  <c r="A7"/>
  <c r="B4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13"/>
  <c r="S48" i="6"/>
  <c r="P48"/>
  <c r="D44"/>
  <c r="R43"/>
  <c r="T42"/>
  <c r="R42"/>
  <c r="L42"/>
  <c r="T41"/>
  <c r="R41"/>
  <c r="L41"/>
  <c r="T40"/>
  <c r="R40"/>
  <c r="L40"/>
  <c r="T39"/>
  <c r="R39"/>
  <c r="L39"/>
  <c r="T38"/>
  <c r="R38"/>
  <c r="L38"/>
  <c r="T37"/>
  <c r="R37"/>
  <c r="L37"/>
  <c r="T36"/>
  <c r="R36"/>
  <c r="L36"/>
  <c r="T35"/>
  <c r="R35"/>
  <c r="L35"/>
  <c r="T34"/>
  <c r="R34"/>
  <c r="L34"/>
  <c r="T33"/>
  <c r="R33"/>
  <c r="L33"/>
  <c r="T32"/>
  <c r="R32"/>
  <c r="L32"/>
  <c r="T31"/>
  <c r="R31"/>
  <c r="L31"/>
  <c r="T30"/>
  <c r="R30"/>
  <c r="L30"/>
  <c r="T29"/>
  <c r="R29"/>
  <c r="L29"/>
  <c r="T28"/>
  <c r="R28"/>
  <c r="L28"/>
  <c r="T27"/>
  <c r="R27"/>
  <c r="L27"/>
  <c r="T26"/>
  <c r="R26"/>
  <c r="L26"/>
  <c r="T25"/>
  <c r="R25"/>
  <c r="L25"/>
  <c r="T24"/>
  <c r="R24"/>
  <c r="L24"/>
  <c r="T23"/>
  <c r="R23"/>
  <c r="L23"/>
  <c r="T22"/>
  <c r="R22"/>
  <c r="L22"/>
  <c r="T21"/>
  <c r="R21"/>
  <c r="L21"/>
  <c r="T20"/>
  <c r="R20"/>
  <c r="L20"/>
  <c r="T19"/>
  <c r="R19"/>
  <c r="L19"/>
  <c r="T18"/>
  <c r="R18"/>
  <c r="L18"/>
  <c r="T17"/>
  <c r="R17"/>
  <c r="L17"/>
  <c r="T16"/>
  <c r="R16"/>
  <c r="L16"/>
  <c r="B16"/>
  <c r="B18" s="1"/>
  <c r="B19" s="1"/>
  <c r="B21" s="1"/>
  <c r="B22" s="1"/>
  <c r="B25" s="1"/>
  <c r="B26" s="1"/>
  <c r="B27" s="1"/>
  <c r="B28" s="1"/>
  <c r="B31" s="1"/>
  <c r="B33" s="1"/>
  <c r="B36" s="1"/>
  <c r="B37" s="1"/>
  <c r="B38" s="1"/>
  <c r="B39" s="1"/>
  <c r="Y15"/>
  <c r="V36" s="1"/>
  <c r="T13"/>
  <c r="S13" s="1"/>
  <c r="R13"/>
  <c r="P13"/>
  <c r="O13"/>
  <c r="M42" s="1"/>
  <c r="N42" s="1"/>
  <c r="O42" s="1"/>
  <c r="P42" s="1"/>
  <c r="D13"/>
  <c r="Q11"/>
  <c r="D11"/>
  <c r="S10"/>
  <c r="O8"/>
  <c r="D7"/>
  <c r="S6"/>
  <c r="Q6" s="1"/>
  <c r="Q8" s="1"/>
  <c r="B6"/>
  <c r="B8" s="1"/>
  <c r="C4"/>
  <c r="E13" s="1"/>
  <c r="X12" i="4"/>
  <c r="U14" s="1"/>
  <c r="R7" i="11" l="1"/>
  <c r="R10"/>
  <c r="L16"/>
  <c r="M16" s="1"/>
  <c r="N16" s="1"/>
  <c r="O16" s="1"/>
  <c r="L23"/>
  <c r="M23" s="1"/>
  <c r="N23" s="1"/>
  <c r="O23" s="1"/>
  <c r="R27"/>
  <c r="L31"/>
  <c r="M31" s="1"/>
  <c r="N31" s="1"/>
  <c r="O31" s="1"/>
  <c r="L39"/>
  <c r="M39" s="1"/>
  <c r="N39" s="1"/>
  <c r="O39" s="1"/>
  <c r="L14"/>
  <c r="M14" s="1"/>
  <c r="N14" s="1"/>
  <c r="O14" s="1"/>
  <c r="L19"/>
  <c r="M19" s="1"/>
  <c r="N19" s="1"/>
  <c r="O19" s="1"/>
  <c r="L27"/>
  <c r="M27" s="1"/>
  <c r="N27" s="1"/>
  <c r="O27" s="1"/>
  <c r="L35"/>
  <c r="M35" s="1"/>
  <c r="N35" s="1"/>
  <c r="O35" s="1"/>
  <c r="B5"/>
  <c r="C7"/>
  <c r="R16"/>
  <c r="R23"/>
  <c r="R31"/>
  <c r="R39"/>
  <c r="S45"/>
  <c r="A4"/>
  <c r="D10"/>
  <c r="U13"/>
  <c r="U15"/>
  <c r="U17"/>
  <c r="L20"/>
  <c r="M20" s="1"/>
  <c r="N20" s="1"/>
  <c r="U21"/>
  <c r="L24"/>
  <c r="M24" s="1"/>
  <c r="N24" s="1"/>
  <c r="U25"/>
  <c r="L28"/>
  <c r="M28" s="1"/>
  <c r="N28" s="1"/>
  <c r="U29"/>
  <c r="L32"/>
  <c r="M32" s="1"/>
  <c r="N32" s="1"/>
  <c r="U33"/>
  <c r="L36"/>
  <c r="M36" s="1"/>
  <c r="N36" s="1"/>
  <c r="U37"/>
  <c r="O10"/>
  <c r="U14"/>
  <c r="U16"/>
  <c r="L18"/>
  <c r="M18" s="1"/>
  <c r="N18" s="1"/>
  <c r="U19"/>
  <c r="L22"/>
  <c r="M22" s="1"/>
  <c r="N22" s="1"/>
  <c r="U23"/>
  <c r="L26"/>
  <c r="M26" s="1"/>
  <c r="N26" s="1"/>
  <c r="U27"/>
  <c r="L30"/>
  <c r="M30" s="1"/>
  <c r="N30" s="1"/>
  <c r="U31"/>
  <c r="L34"/>
  <c r="M34" s="1"/>
  <c r="N34" s="1"/>
  <c r="U35"/>
  <c r="L38"/>
  <c r="M38" s="1"/>
  <c r="N38" s="1"/>
  <c r="U39"/>
  <c r="L40"/>
  <c r="M40" s="1"/>
  <c r="N40" s="1"/>
  <c r="L13"/>
  <c r="M13" s="1"/>
  <c r="N13" s="1"/>
  <c r="O13" s="1"/>
  <c r="L15"/>
  <c r="M15" s="1"/>
  <c r="N15" s="1"/>
  <c r="O15" s="1"/>
  <c r="L17"/>
  <c r="M17" s="1"/>
  <c r="N17" s="1"/>
  <c r="O17" s="1"/>
  <c r="L21"/>
  <c r="M21" s="1"/>
  <c r="N21" s="1"/>
  <c r="O21" s="1"/>
  <c r="U22"/>
  <c r="L25"/>
  <c r="M25" s="1"/>
  <c r="N25" s="1"/>
  <c r="O25" s="1"/>
  <c r="U26"/>
  <c r="L29"/>
  <c r="M29" s="1"/>
  <c r="N29" s="1"/>
  <c r="O29" s="1"/>
  <c r="U30"/>
  <c r="L33"/>
  <c r="M33" s="1"/>
  <c r="N33" s="1"/>
  <c r="O33" s="1"/>
  <c r="U34"/>
  <c r="L37"/>
  <c r="M37" s="1"/>
  <c r="N37" s="1"/>
  <c r="O37" s="1"/>
  <c r="U38"/>
  <c r="R18" i="10"/>
  <c r="R26"/>
  <c r="R34"/>
  <c r="B5"/>
  <c r="C7"/>
  <c r="I15"/>
  <c r="I21"/>
  <c r="I29"/>
  <c r="I37"/>
  <c r="A15"/>
  <c r="A17"/>
  <c r="H20"/>
  <c r="L20"/>
  <c r="M20" s="1"/>
  <c r="N20" s="1"/>
  <c r="A21"/>
  <c r="H24"/>
  <c r="L24"/>
  <c r="M24" s="1"/>
  <c r="N24" s="1"/>
  <c r="A25"/>
  <c r="L28"/>
  <c r="M28" s="1"/>
  <c r="N28" s="1"/>
  <c r="A29"/>
  <c r="H32"/>
  <c r="L32"/>
  <c r="M32" s="1"/>
  <c r="N32" s="1"/>
  <c r="A33"/>
  <c r="H36"/>
  <c r="L36"/>
  <c r="M36" s="1"/>
  <c r="N36" s="1"/>
  <c r="A37"/>
  <c r="A4"/>
  <c r="F13"/>
  <c r="D14"/>
  <c r="L14"/>
  <c r="M14" s="1"/>
  <c r="N14" s="1"/>
  <c r="F15"/>
  <c r="D16"/>
  <c r="L16"/>
  <c r="M16" s="1"/>
  <c r="N16" s="1"/>
  <c r="F17"/>
  <c r="D19"/>
  <c r="L19"/>
  <c r="M19" s="1"/>
  <c r="N19" s="1"/>
  <c r="A20"/>
  <c r="U20"/>
  <c r="F21"/>
  <c r="D23"/>
  <c r="L23"/>
  <c r="M23" s="1"/>
  <c r="N23" s="1"/>
  <c r="A24"/>
  <c r="U24"/>
  <c r="F25"/>
  <c r="D27"/>
  <c r="L27"/>
  <c r="M27" s="1"/>
  <c r="N27" s="1"/>
  <c r="A28"/>
  <c r="U28"/>
  <c r="F29"/>
  <c r="D31"/>
  <c r="L31"/>
  <c r="M31" s="1"/>
  <c r="N31" s="1"/>
  <c r="A32"/>
  <c r="U32"/>
  <c r="F32" s="1"/>
  <c r="F33"/>
  <c r="D35"/>
  <c r="L35"/>
  <c r="M35" s="1"/>
  <c r="N35" s="1"/>
  <c r="A36"/>
  <c r="U36"/>
  <c r="F37"/>
  <c r="D39"/>
  <c r="L39"/>
  <c r="M39" s="1"/>
  <c r="N39" s="1"/>
  <c r="D40"/>
  <c r="L42"/>
  <c r="M42" s="1"/>
  <c r="N42" s="1"/>
  <c r="N11"/>
  <c r="S11"/>
  <c r="E13"/>
  <c r="A14"/>
  <c r="U14"/>
  <c r="E15"/>
  <c r="A16"/>
  <c r="U16"/>
  <c r="E17"/>
  <c r="D18"/>
  <c r="L18"/>
  <c r="M18" s="1"/>
  <c r="N18" s="1"/>
  <c r="O18" s="1"/>
  <c r="A19"/>
  <c r="U19"/>
  <c r="F20"/>
  <c r="E21"/>
  <c r="D22"/>
  <c r="L22"/>
  <c r="M22" s="1"/>
  <c r="N22" s="1"/>
  <c r="O22" s="1"/>
  <c r="A23"/>
  <c r="U23"/>
  <c r="F24"/>
  <c r="E25"/>
  <c r="D26"/>
  <c r="L26"/>
  <c r="M26" s="1"/>
  <c r="N26" s="1"/>
  <c r="O26" s="1"/>
  <c r="A27"/>
  <c r="U27"/>
  <c r="F28"/>
  <c r="E29"/>
  <c r="D30"/>
  <c r="L30"/>
  <c r="M30" s="1"/>
  <c r="N30" s="1"/>
  <c r="O30" s="1"/>
  <c r="A31"/>
  <c r="U31"/>
  <c r="E33"/>
  <c r="D34"/>
  <c r="L34"/>
  <c r="M34" s="1"/>
  <c r="N34" s="1"/>
  <c r="O34" s="1"/>
  <c r="A35"/>
  <c r="U35"/>
  <c r="F36"/>
  <c r="E37"/>
  <c r="D38"/>
  <c r="L38"/>
  <c r="M38" s="1"/>
  <c r="N38" s="1"/>
  <c r="O38" s="1"/>
  <c r="A39"/>
  <c r="L40"/>
  <c r="M40" s="1"/>
  <c r="N40" s="1"/>
  <c r="O10"/>
  <c r="L13"/>
  <c r="M13" s="1"/>
  <c r="N13" s="1"/>
  <c r="O13" s="1"/>
  <c r="L15"/>
  <c r="M15" s="1"/>
  <c r="N15" s="1"/>
  <c r="O15" s="1"/>
  <c r="L17"/>
  <c r="M17" s="1"/>
  <c r="N17" s="1"/>
  <c r="O17" s="1"/>
  <c r="A18"/>
  <c r="L21"/>
  <c r="M21" s="1"/>
  <c r="N21" s="1"/>
  <c r="O21" s="1"/>
  <c r="A22"/>
  <c r="L25"/>
  <c r="M25" s="1"/>
  <c r="N25" s="1"/>
  <c r="O25" s="1"/>
  <c r="A26"/>
  <c r="L29"/>
  <c r="M29" s="1"/>
  <c r="N29" s="1"/>
  <c r="O29" s="1"/>
  <c r="A30"/>
  <c r="L33"/>
  <c r="M33" s="1"/>
  <c r="N33" s="1"/>
  <c r="O33" s="1"/>
  <c r="A34"/>
  <c r="A15" i="9"/>
  <c r="A16"/>
  <c r="A31"/>
  <c r="A34"/>
  <c r="A39"/>
  <c r="A14"/>
  <c r="A30"/>
  <c r="A32"/>
  <c r="A33"/>
  <c r="A35"/>
  <c r="A36"/>
  <c r="A37"/>
  <c r="R10"/>
  <c r="L14"/>
  <c r="M14" s="1"/>
  <c r="N14" s="1"/>
  <c r="O14" s="1"/>
  <c r="R16"/>
  <c r="O10"/>
  <c r="I68" i="4"/>
  <c r="E68"/>
  <c r="R67"/>
  <c r="H67"/>
  <c r="J67" s="1"/>
  <c r="H68"/>
  <c r="J68" s="1"/>
  <c r="R85"/>
  <c r="F85"/>
  <c r="G85" s="1"/>
  <c r="F84"/>
  <c r="G84" s="1"/>
  <c r="H83"/>
  <c r="J83" s="1"/>
  <c r="I83"/>
  <c r="T88"/>
  <c r="L88" s="1"/>
  <c r="M88" s="1"/>
  <c r="R83"/>
  <c r="B5" i="9"/>
  <c r="C7"/>
  <c r="A4"/>
  <c r="D10"/>
  <c r="U13"/>
  <c r="U15"/>
  <c r="U17"/>
  <c r="L20"/>
  <c r="M20" s="1"/>
  <c r="N20" s="1"/>
  <c r="O20" s="1"/>
  <c r="U21"/>
  <c r="L24"/>
  <c r="M24" s="1"/>
  <c r="N24" s="1"/>
  <c r="O24" s="1"/>
  <c r="U25"/>
  <c r="L28"/>
  <c r="M28" s="1"/>
  <c r="N28" s="1"/>
  <c r="O28" s="1"/>
  <c r="U29"/>
  <c r="L32"/>
  <c r="M32" s="1"/>
  <c r="N32" s="1"/>
  <c r="O32" s="1"/>
  <c r="U33"/>
  <c r="L36"/>
  <c r="M36" s="1"/>
  <c r="N36" s="1"/>
  <c r="O36" s="1"/>
  <c r="U37"/>
  <c r="L19"/>
  <c r="M19" s="1"/>
  <c r="N19" s="1"/>
  <c r="O19" s="1"/>
  <c r="U20"/>
  <c r="L23"/>
  <c r="M23" s="1"/>
  <c r="N23" s="1"/>
  <c r="U24"/>
  <c r="L27"/>
  <c r="M27" s="1"/>
  <c r="N27" s="1"/>
  <c r="O27" s="1"/>
  <c r="U28"/>
  <c r="L31"/>
  <c r="M31" s="1"/>
  <c r="N31" s="1"/>
  <c r="O31" s="1"/>
  <c r="U32"/>
  <c r="L35"/>
  <c r="M35" s="1"/>
  <c r="N35" s="1"/>
  <c r="O35" s="1"/>
  <c r="U36"/>
  <c r="L39"/>
  <c r="M39" s="1"/>
  <c r="N39" s="1"/>
  <c r="O39" s="1"/>
  <c r="L42"/>
  <c r="M42" s="1"/>
  <c r="N42" s="1"/>
  <c r="L18"/>
  <c r="M18" s="1"/>
  <c r="N18" s="1"/>
  <c r="U19"/>
  <c r="L22"/>
  <c r="M22" s="1"/>
  <c r="N22" s="1"/>
  <c r="U23"/>
  <c r="L26"/>
  <c r="M26" s="1"/>
  <c r="N26" s="1"/>
  <c r="U27"/>
  <c r="L30"/>
  <c r="M30" s="1"/>
  <c r="N30" s="1"/>
  <c r="U31"/>
  <c r="L34"/>
  <c r="M34" s="1"/>
  <c r="N34" s="1"/>
  <c r="U35"/>
  <c r="L38"/>
  <c r="M38" s="1"/>
  <c r="N38" s="1"/>
  <c r="U39"/>
  <c r="L40"/>
  <c r="M40" s="1"/>
  <c r="N40" s="1"/>
  <c r="L13"/>
  <c r="M13" s="1"/>
  <c r="N13" s="1"/>
  <c r="L15"/>
  <c r="M15" s="1"/>
  <c r="N15" s="1"/>
  <c r="L17"/>
  <c r="M17" s="1"/>
  <c r="N17" s="1"/>
  <c r="O17" s="1"/>
  <c r="U18"/>
  <c r="L21"/>
  <c r="M21" s="1"/>
  <c r="N21" s="1"/>
  <c r="O21" s="1"/>
  <c r="U22"/>
  <c r="L25"/>
  <c r="M25" s="1"/>
  <c r="N25" s="1"/>
  <c r="O25" s="1"/>
  <c r="U26"/>
  <c r="L29"/>
  <c r="M29" s="1"/>
  <c r="N29" s="1"/>
  <c r="O29" s="1"/>
  <c r="U30"/>
  <c r="L33"/>
  <c r="M33" s="1"/>
  <c r="N33" s="1"/>
  <c r="O33" s="1"/>
  <c r="U34"/>
  <c r="L37"/>
  <c r="M37" s="1"/>
  <c r="N37" s="1"/>
  <c r="O37" s="1"/>
  <c r="U38"/>
  <c r="J87" i="4"/>
  <c r="I87"/>
  <c r="O84"/>
  <c r="R84"/>
  <c r="O76"/>
  <c r="R76"/>
  <c r="I80"/>
  <c r="J80" s="1"/>
  <c r="O72"/>
  <c r="R72"/>
  <c r="J72"/>
  <c r="I72"/>
  <c r="O64"/>
  <c r="R64"/>
  <c r="I64"/>
  <c r="J64" s="1"/>
  <c r="O62"/>
  <c r="R62"/>
  <c r="O58"/>
  <c r="R58"/>
  <c r="J86"/>
  <c r="J82"/>
  <c r="I82"/>
  <c r="R81"/>
  <c r="I77"/>
  <c r="J77" s="1"/>
  <c r="J70"/>
  <c r="I70"/>
  <c r="R69"/>
  <c r="O80"/>
  <c r="R80"/>
  <c r="O68"/>
  <c r="R68"/>
  <c r="I86"/>
  <c r="I78"/>
  <c r="J78" s="1"/>
  <c r="I63"/>
  <c r="J63" s="1"/>
  <c r="R73"/>
  <c r="I69"/>
  <c r="J66"/>
  <c r="R65"/>
  <c r="N88"/>
  <c r="P90" s="1"/>
  <c r="I61"/>
  <c r="J61" s="1"/>
  <c r="O60"/>
  <c r="R60"/>
  <c r="G60"/>
  <c r="I73"/>
  <c r="I75"/>
  <c r="J75" s="1"/>
  <c r="H73"/>
  <c r="J73" s="1"/>
  <c r="D88"/>
  <c r="E85"/>
  <c r="E81"/>
  <c r="E77"/>
  <c r="E73"/>
  <c r="E69"/>
  <c r="E65"/>
  <c r="S58"/>
  <c r="H85"/>
  <c r="J85" s="1"/>
  <c r="H81"/>
  <c r="I81" s="1"/>
  <c r="S88"/>
  <c r="F69"/>
  <c r="G69" s="1"/>
  <c r="H69" s="1"/>
  <c r="F65"/>
  <c r="G65" s="1"/>
  <c r="H65" s="1"/>
  <c r="E34" i="7"/>
  <c r="R3"/>
  <c r="U19"/>
  <c r="U14"/>
  <c r="U18"/>
  <c r="U22"/>
  <c r="U26"/>
  <c r="U30"/>
  <c r="U34"/>
  <c r="U9"/>
  <c r="U11"/>
  <c r="U13"/>
  <c r="U17"/>
  <c r="U21"/>
  <c r="U25"/>
  <c r="U29"/>
  <c r="U33"/>
  <c r="U16"/>
  <c r="U20"/>
  <c r="U24"/>
  <c r="U28"/>
  <c r="U32"/>
  <c r="U10"/>
  <c r="U12"/>
  <c r="U15"/>
  <c r="U23"/>
  <c r="U27"/>
  <c r="U31"/>
  <c r="E43" i="6"/>
  <c r="E42"/>
  <c r="E41"/>
  <c r="E40"/>
  <c r="E39"/>
  <c r="E35"/>
  <c r="E34"/>
  <c r="E33"/>
  <c r="E26"/>
  <c r="E20"/>
  <c r="Q14"/>
  <c r="E36"/>
  <c r="E27"/>
  <c r="E21"/>
  <c r="E18"/>
  <c r="E37"/>
  <c r="E30"/>
  <c r="E29"/>
  <c r="E28"/>
  <c r="E24"/>
  <c r="E23"/>
  <c r="E22"/>
  <c r="E16"/>
  <c r="T14"/>
  <c r="O14"/>
  <c r="D14"/>
  <c r="Q48"/>
  <c r="E38"/>
  <c r="E32"/>
  <c r="E31"/>
  <c r="E25"/>
  <c r="E19"/>
  <c r="E17"/>
  <c r="U14"/>
  <c r="S29"/>
  <c r="S22"/>
  <c r="S26"/>
  <c r="S42"/>
  <c r="T48"/>
  <c r="C7"/>
  <c r="C6"/>
  <c r="S16"/>
  <c r="S40"/>
  <c r="S8"/>
  <c r="S9" s="1"/>
  <c r="V18"/>
  <c r="B5"/>
  <c r="E8"/>
  <c r="B9"/>
  <c r="M17"/>
  <c r="N17" s="1"/>
  <c r="O17" s="1"/>
  <c r="M19"/>
  <c r="N19" s="1"/>
  <c r="O19" s="1"/>
  <c r="V20"/>
  <c r="M25"/>
  <c r="N25" s="1"/>
  <c r="O25" s="1"/>
  <c r="V26"/>
  <c r="M31"/>
  <c r="N31" s="1"/>
  <c r="O31" s="1"/>
  <c r="M32"/>
  <c r="N32" s="1"/>
  <c r="O32" s="1"/>
  <c r="V33"/>
  <c r="V34"/>
  <c r="V35"/>
  <c r="M38"/>
  <c r="N38" s="1"/>
  <c r="O38" s="1"/>
  <c r="V39"/>
  <c r="V40"/>
  <c r="V41"/>
  <c r="V42"/>
  <c r="M43"/>
  <c r="N43" s="1"/>
  <c r="O43" s="1"/>
  <c r="E6"/>
  <c r="E7" s="1"/>
  <c r="M16"/>
  <c r="N16" s="1"/>
  <c r="O16" s="1"/>
  <c r="P16" s="1"/>
  <c r="V17"/>
  <c r="V19"/>
  <c r="M22"/>
  <c r="N22" s="1"/>
  <c r="O22" s="1"/>
  <c r="P22" s="1"/>
  <c r="M23"/>
  <c r="N23" s="1"/>
  <c r="O23" s="1"/>
  <c r="P23" s="1"/>
  <c r="M24"/>
  <c r="N24" s="1"/>
  <c r="O24" s="1"/>
  <c r="P24" s="1"/>
  <c r="V25"/>
  <c r="M28"/>
  <c r="N28" s="1"/>
  <c r="O28" s="1"/>
  <c r="P28" s="1"/>
  <c r="M29"/>
  <c r="N29" s="1"/>
  <c r="O29" s="1"/>
  <c r="P29" s="1"/>
  <c r="M30"/>
  <c r="N30" s="1"/>
  <c r="O30" s="1"/>
  <c r="P30" s="1"/>
  <c r="V31"/>
  <c r="V32"/>
  <c r="M37"/>
  <c r="N37" s="1"/>
  <c r="O37" s="1"/>
  <c r="P37" s="1"/>
  <c r="V38"/>
  <c r="V16"/>
  <c r="M18"/>
  <c r="N18" s="1"/>
  <c r="O18" s="1"/>
  <c r="M21"/>
  <c r="N21" s="1"/>
  <c r="O21" s="1"/>
  <c r="V22"/>
  <c r="V23"/>
  <c r="V24"/>
  <c r="M27"/>
  <c r="N27" s="1"/>
  <c r="O27" s="1"/>
  <c r="V28"/>
  <c r="V29"/>
  <c r="V30"/>
  <c r="M36"/>
  <c r="N36" s="1"/>
  <c r="O36" s="1"/>
  <c r="V37"/>
  <c r="M45"/>
  <c r="N45" s="1"/>
  <c r="O45" s="1"/>
  <c r="M20"/>
  <c r="N20" s="1"/>
  <c r="O20" s="1"/>
  <c r="P20" s="1"/>
  <c r="V21"/>
  <c r="M26"/>
  <c r="N26" s="1"/>
  <c r="O26" s="1"/>
  <c r="P26" s="1"/>
  <c r="V27"/>
  <c r="M33"/>
  <c r="N33" s="1"/>
  <c r="O33" s="1"/>
  <c r="P33" s="1"/>
  <c r="M34"/>
  <c r="N34" s="1"/>
  <c r="O34" s="1"/>
  <c r="P34" s="1"/>
  <c r="M35"/>
  <c r="N35" s="1"/>
  <c r="O35" s="1"/>
  <c r="P35" s="1"/>
  <c r="M39"/>
  <c r="N39" s="1"/>
  <c r="O39" s="1"/>
  <c r="P39" s="1"/>
  <c r="M40"/>
  <c r="N40" s="1"/>
  <c r="O40" s="1"/>
  <c r="P40" s="1"/>
  <c r="M41"/>
  <c r="N41" s="1"/>
  <c r="O41" s="1"/>
  <c r="P41" s="1"/>
  <c r="U36" i="4"/>
  <c r="U32"/>
  <c r="U28"/>
  <c r="U24"/>
  <c r="U20"/>
  <c r="U16"/>
  <c r="U39"/>
  <c r="U35"/>
  <c r="U31"/>
  <c r="U27"/>
  <c r="U23"/>
  <c r="U19"/>
  <c r="U15"/>
  <c r="U37"/>
  <c r="U33"/>
  <c r="U29"/>
  <c r="U25"/>
  <c r="U21"/>
  <c r="U17"/>
  <c r="U13"/>
  <c r="U38"/>
  <c r="U34"/>
  <c r="U30"/>
  <c r="U26"/>
  <c r="U22"/>
  <c r="U18"/>
  <c r="R45"/>
  <c r="O45"/>
  <c r="C41"/>
  <c r="Q40"/>
  <c r="S39"/>
  <c r="Q39"/>
  <c r="S38"/>
  <c r="Q38"/>
  <c r="S37"/>
  <c r="Q37"/>
  <c r="S36"/>
  <c r="Q36"/>
  <c r="S35"/>
  <c r="Q35"/>
  <c r="S34"/>
  <c r="Q34"/>
  <c r="S33"/>
  <c r="Q33"/>
  <c r="S32"/>
  <c r="Q32"/>
  <c r="S31"/>
  <c r="Q31"/>
  <c r="S30"/>
  <c r="Q30"/>
  <c r="S29"/>
  <c r="Q29"/>
  <c r="S28"/>
  <c r="Q28"/>
  <c r="S27"/>
  <c r="Q27"/>
  <c r="S26"/>
  <c r="Q26"/>
  <c r="S25"/>
  <c r="Q25"/>
  <c r="S24"/>
  <c r="Q24"/>
  <c r="S23"/>
  <c r="Q23"/>
  <c r="S22"/>
  <c r="Q22"/>
  <c r="S21"/>
  <c r="Q21"/>
  <c r="S20"/>
  <c r="Q20"/>
  <c r="S19"/>
  <c r="Q19"/>
  <c r="S18"/>
  <c r="Q18"/>
  <c r="S17"/>
  <c r="Q17"/>
  <c r="S16"/>
  <c r="Q16"/>
  <c r="S15"/>
  <c r="Q15"/>
  <c r="S14"/>
  <c r="Q14"/>
  <c r="S13"/>
  <c r="Q13"/>
  <c r="S10"/>
  <c r="Q10"/>
  <c r="N10"/>
  <c r="P8"/>
  <c r="N7"/>
  <c r="R5"/>
  <c r="A4"/>
  <c r="B6" i="1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16"/>
  <c r="R14" i="11" l="1"/>
  <c r="R35"/>
  <c r="R19"/>
  <c r="R36"/>
  <c r="O36"/>
  <c r="R28"/>
  <c r="O28"/>
  <c r="R20"/>
  <c r="O20"/>
  <c r="D37"/>
  <c r="D33"/>
  <c r="D29"/>
  <c r="D25"/>
  <c r="D21"/>
  <c r="D17"/>
  <c r="D15"/>
  <c r="D13"/>
  <c r="P11"/>
  <c r="D40"/>
  <c r="D31"/>
  <c r="D27"/>
  <c r="D23"/>
  <c r="D16"/>
  <c r="P45"/>
  <c r="D38"/>
  <c r="D34"/>
  <c r="D30"/>
  <c r="D26"/>
  <c r="D22"/>
  <c r="D18"/>
  <c r="C11"/>
  <c r="N11"/>
  <c r="D14"/>
  <c r="D36"/>
  <c r="D32"/>
  <c r="D28"/>
  <c r="D24"/>
  <c r="D20"/>
  <c r="D39"/>
  <c r="D35"/>
  <c r="D19"/>
  <c r="S11"/>
  <c r="R29"/>
  <c r="R15"/>
  <c r="R17"/>
  <c r="O34"/>
  <c r="R34"/>
  <c r="O26"/>
  <c r="R26"/>
  <c r="O18"/>
  <c r="R18"/>
  <c r="D7"/>
  <c r="H7"/>
  <c r="R33"/>
  <c r="R32"/>
  <c r="O32"/>
  <c r="R24"/>
  <c r="O24"/>
  <c r="R13"/>
  <c r="R37"/>
  <c r="R21"/>
  <c r="O38"/>
  <c r="R38"/>
  <c r="O30"/>
  <c r="R30"/>
  <c r="O22"/>
  <c r="R22"/>
  <c r="R25"/>
  <c r="H26" i="10"/>
  <c r="E26"/>
  <c r="F26"/>
  <c r="E18"/>
  <c r="F18"/>
  <c r="O39"/>
  <c r="R39"/>
  <c r="F27"/>
  <c r="H27"/>
  <c r="E27"/>
  <c r="F14"/>
  <c r="E14"/>
  <c r="I32"/>
  <c r="J32"/>
  <c r="F40"/>
  <c r="E40"/>
  <c r="F31"/>
  <c r="E31"/>
  <c r="O27"/>
  <c r="R27"/>
  <c r="O14"/>
  <c r="R14"/>
  <c r="R32"/>
  <c r="O32"/>
  <c r="N41"/>
  <c r="T41"/>
  <c r="R38"/>
  <c r="R29"/>
  <c r="R21"/>
  <c r="R13"/>
  <c r="O23"/>
  <c r="R23"/>
  <c r="R36"/>
  <c r="O36"/>
  <c r="H38"/>
  <c r="E38"/>
  <c r="F38"/>
  <c r="E30"/>
  <c r="F30"/>
  <c r="E22"/>
  <c r="F22"/>
  <c r="F35"/>
  <c r="E35"/>
  <c r="O31"/>
  <c r="R31"/>
  <c r="F19"/>
  <c r="E19"/>
  <c r="E41" s="1"/>
  <c r="R28"/>
  <c r="O28"/>
  <c r="I24"/>
  <c r="J24"/>
  <c r="Q41"/>
  <c r="P41"/>
  <c r="S41"/>
  <c r="D41"/>
  <c r="R30"/>
  <c r="R22"/>
  <c r="R15"/>
  <c r="E34"/>
  <c r="F34"/>
  <c r="O16"/>
  <c r="R16"/>
  <c r="R20"/>
  <c r="O20"/>
  <c r="R11"/>
  <c r="O11"/>
  <c r="F39"/>
  <c r="E39"/>
  <c r="O35"/>
  <c r="R35"/>
  <c r="F23"/>
  <c r="E23"/>
  <c r="O19"/>
  <c r="R19"/>
  <c r="F16"/>
  <c r="E16"/>
  <c r="I36"/>
  <c r="J36"/>
  <c r="R24"/>
  <c r="O24"/>
  <c r="I20"/>
  <c r="J20"/>
  <c r="D7"/>
  <c r="H7" s="1"/>
  <c r="R33"/>
  <c r="R25"/>
  <c r="R17"/>
  <c r="R14" i="9"/>
  <c r="R24"/>
  <c r="I67" i="4"/>
  <c r="E88"/>
  <c r="X60" s="1"/>
  <c r="I85"/>
  <c r="K88"/>
  <c r="X61"/>
  <c r="P91"/>
  <c r="R36" i="9"/>
  <c r="R31"/>
  <c r="R25"/>
  <c r="R19"/>
  <c r="R13"/>
  <c r="O13"/>
  <c r="O34"/>
  <c r="R34"/>
  <c r="O26"/>
  <c r="R26"/>
  <c r="O18"/>
  <c r="R18"/>
  <c r="O23"/>
  <c r="R23"/>
  <c r="D7"/>
  <c r="H7" s="1"/>
  <c r="R37"/>
  <c r="R32"/>
  <c r="R27"/>
  <c r="R20"/>
  <c r="R15"/>
  <c r="O15"/>
  <c r="R39"/>
  <c r="R33"/>
  <c r="R28"/>
  <c r="R21"/>
  <c r="O38"/>
  <c r="R38"/>
  <c r="O30"/>
  <c r="R30"/>
  <c r="O22"/>
  <c r="R22"/>
  <c r="D37"/>
  <c r="D33"/>
  <c r="D29"/>
  <c r="D25"/>
  <c r="D21"/>
  <c r="D17"/>
  <c r="D15"/>
  <c r="D13"/>
  <c r="P11"/>
  <c r="P45"/>
  <c r="D38"/>
  <c r="D34"/>
  <c r="D30"/>
  <c r="D26"/>
  <c r="D22"/>
  <c r="D18"/>
  <c r="C11"/>
  <c r="D40"/>
  <c r="D39"/>
  <c r="D35"/>
  <c r="D31"/>
  <c r="D27"/>
  <c r="D23"/>
  <c r="D19"/>
  <c r="D16"/>
  <c r="D14"/>
  <c r="S11"/>
  <c r="N11"/>
  <c r="D36"/>
  <c r="D32"/>
  <c r="D28"/>
  <c r="D24"/>
  <c r="D20"/>
  <c r="S45"/>
  <c r="R35"/>
  <c r="R29"/>
  <c r="R17"/>
  <c r="R90" i="4"/>
  <c r="P93"/>
  <c r="I65"/>
  <c r="J65" s="1"/>
  <c r="S90"/>
  <c r="S93" s="1"/>
  <c r="S94" s="1"/>
  <c r="S91"/>
  <c r="H60"/>
  <c r="G88"/>
  <c r="J69"/>
  <c r="J81"/>
  <c r="F88"/>
  <c r="F89" s="1"/>
  <c r="F18" i="7"/>
  <c r="F15"/>
  <c r="E29"/>
  <c r="F34"/>
  <c r="E22"/>
  <c r="F25"/>
  <c r="F22"/>
  <c r="E14"/>
  <c r="F14"/>
  <c r="E35"/>
  <c r="F35"/>
  <c r="E27"/>
  <c r="F27"/>
  <c r="E19"/>
  <c r="F19"/>
  <c r="E10"/>
  <c r="F10"/>
  <c r="F32"/>
  <c r="E32"/>
  <c r="F24"/>
  <c r="E24"/>
  <c r="E16"/>
  <c r="F16"/>
  <c r="F21"/>
  <c r="E21"/>
  <c r="F11"/>
  <c r="E11"/>
  <c r="E31"/>
  <c r="F31"/>
  <c r="F28"/>
  <c r="E28"/>
  <c r="E30"/>
  <c r="F30"/>
  <c r="E26"/>
  <c r="F26"/>
  <c r="E12"/>
  <c r="F12"/>
  <c r="E33"/>
  <c r="F33"/>
  <c r="E23"/>
  <c r="F23"/>
  <c r="F20"/>
  <c r="E20"/>
  <c r="F9"/>
  <c r="E9"/>
  <c r="S25" i="6"/>
  <c r="P25"/>
  <c r="F25"/>
  <c r="G25"/>
  <c r="R44"/>
  <c r="E44"/>
  <c r="G16"/>
  <c r="T44"/>
  <c r="U44"/>
  <c r="O44"/>
  <c r="Q44"/>
  <c r="F16"/>
  <c r="I18"/>
  <c r="F18"/>
  <c r="G18"/>
  <c r="I41"/>
  <c r="F41"/>
  <c r="G41"/>
  <c r="P18"/>
  <c r="S18"/>
  <c r="F19"/>
  <c r="G19"/>
  <c r="G37"/>
  <c r="F37"/>
  <c r="I40"/>
  <c r="F40"/>
  <c r="G40"/>
  <c r="P36"/>
  <c r="S36"/>
  <c r="P27"/>
  <c r="S27"/>
  <c r="S21"/>
  <c r="P21"/>
  <c r="S31"/>
  <c r="P31"/>
  <c r="P19"/>
  <c r="S19"/>
  <c r="G17"/>
  <c r="F17"/>
  <c r="F32"/>
  <c r="G32"/>
  <c r="I32"/>
  <c r="S14"/>
  <c r="P14"/>
  <c r="G23"/>
  <c r="I23"/>
  <c r="F23"/>
  <c r="G30"/>
  <c r="I30"/>
  <c r="F30"/>
  <c r="I27"/>
  <c r="F27"/>
  <c r="G27"/>
  <c r="F26"/>
  <c r="G26"/>
  <c r="I39"/>
  <c r="F39"/>
  <c r="G39"/>
  <c r="F43"/>
  <c r="G43"/>
  <c r="E45"/>
  <c r="S39"/>
  <c r="S23"/>
  <c r="S24"/>
  <c r="S30"/>
  <c r="S37"/>
  <c r="B10"/>
  <c r="C9"/>
  <c r="G28"/>
  <c r="F28"/>
  <c r="F34"/>
  <c r="G34"/>
  <c r="F7"/>
  <c r="O7"/>
  <c r="P17"/>
  <c r="S17"/>
  <c r="F38"/>
  <c r="G38"/>
  <c r="G24"/>
  <c r="I24"/>
  <c r="F24"/>
  <c r="F36"/>
  <c r="G36"/>
  <c r="F33"/>
  <c r="G33"/>
  <c r="S38"/>
  <c r="P38"/>
  <c r="S32"/>
  <c r="P32"/>
  <c r="F31"/>
  <c r="G31"/>
  <c r="F22"/>
  <c r="G22"/>
  <c r="G29"/>
  <c r="I29"/>
  <c r="F29"/>
  <c r="F21"/>
  <c r="G21"/>
  <c r="F20"/>
  <c r="G20"/>
  <c r="I35"/>
  <c r="F35"/>
  <c r="G35"/>
  <c r="F42"/>
  <c r="G42"/>
  <c r="S20"/>
  <c r="S33"/>
  <c r="S35"/>
  <c r="S28"/>
  <c r="S34"/>
  <c r="S41"/>
  <c r="L28" i="4"/>
  <c r="M28" s="1"/>
  <c r="N28" s="1"/>
  <c r="O28" s="1"/>
  <c r="D28"/>
  <c r="P5"/>
  <c r="P7" s="1"/>
  <c r="L16"/>
  <c r="M16" s="1"/>
  <c r="N16" s="1"/>
  <c r="R16" s="1"/>
  <c r="C7"/>
  <c r="L21"/>
  <c r="M21" s="1"/>
  <c r="N21" s="1"/>
  <c r="O21" s="1"/>
  <c r="L36"/>
  <c r="M36" s="1"/>
  <c r="N36" s="1"/>
  <c r="O36" s="1"/>
  <c r="L31"/>
  <c r="M31" s="1"/>
  <c r="N31" s="1"/>
  <c r="O31" s="1"/>
  <c r="L26"/>
  <c r="M26" s="1"/>
  <c r="N26" s="1"/>
  <c r="R26" s="1"/>
  <c r="O10"/>
  <c r="L39"/>
  <c r="M39" s="1"/>
  <c r="N39" s="1"/>
  <c r="O39" s="1"/>
  <c r="L42"/>
  <c r="M42" s="1"/>
  <c r="N42" s="1"/>
  <c r="L14"/>
  <c r="M14" s="1"/>
  <c r="N14" s="1"/>
  <c r="O14" s="1"/>
  <c r="L29"/>
  <c r="M29" s="1"/>
  <c r="N29" s="1"/>
  <c r="O29" s="1"/>
  <c r="L34"/>
  <c r="M34" s="1"/>
  <c r="N34" s="1"/>
  <c r="O34" s="1"/>
  <c r="L19"/>
  <c r="M19" s="1"/>
  <c r="N19" s="1"/>
  <c r="R10"/>
  <c r="L32"/>
  <c r="M32" s="1"/>
  <c r="N32" s="1"/>
  <c r="O32" s="1"/>
  <c r="L17"/>
  <c r="M17" s="1"/>
  <c r="N17" s="1"/>
  <c r="L22"/>
  <c r="M22" s="1"/>
  <c r="N22" s="1"/>
  <c r="L27"/>
  <c r="M27" s="1"/>
  <c r="N27" s="1"/>
  <c r="L37"/>
  <c r="M37" s="1"/>
  <c r="N37" s="1"/>
  <c r="L40"/>
  <c r="M40" s="1"/>
  <c r="N40" s="1"/>
  <c r="L24"/>
  <c r="M24" s="1"/>
  <c r="N24" s="1"/>
  <c r="L20"/>
  <c r="M20" s="1"/>
  <c r="N20" s="1"/>
  <c r="O20" s="1"/>
  <c r="L15"/>
  <c r="M15" s="1"/>
  <c r="N15" s="1"/>
  <c r="O15" s="1"/>
  <c r="L30"/>
  <c r="M30" s="1"/>
  <c r="N30" s="1"/>
  <c r="O30" s="1"/>
  <c r="L35"/>
  <c r="M35" s="1"/>
  <c r="N35" s="1"/>
  <c r="O35" s="1"/>
  <c r="L25"/>
  <c r="M25" s="1"/>
  <c r="N25" s="1"/>
  <c r="L33"/>
  <c r="M33" s="1"/>
  <c r="N33" s="1"/>
  <c r="L38"/>
  <c r="M38" s="1"/>
  <c r="N38" s="1"/>
  <c r="L13"/>
  <c r="M13" s="1"/>
  <c r="L18"/>
  <c r="M18" s="1"/>
  <c r="N18" s="1"/>
  <c r="L23"/>
  <c r="M23" s="1"/>
  <c r="N23" s="1"/>
  <c r="C48" i="2"/>
  <c r="C47"/>
  <c r="C46"/>
  <c r="C38"/>
  <c r="C39"/>
  <c r="C40"/>
  <c r="C37"/>
  <c r="D30"/>
  <c r="C30"/>
  <c r="E30"/>
  <c r="B30"/>
  <c r="C4" i="1"/>
  <c r="E13" s="1"/>
  <c r="E6"/>
  <c r="E7" s="1"/>
  <c r="L6"/>
  <c r="J6" s="1"/>
  <c r="J8" s="1"/>
  <c r="D7"/>
  <c r="R7"/>
  <c r="B8"/>
  <c r="C6" s="1"/>
  <c r="H8"/>
  <c r="R8"/>
  <c r="R9"/>
  <c r="L10"/>
  <c r="R10"/>
  <c r="D11"/>
  <c r="J11"/>
  <c r="R11"/>
  <c r="R12"/>
  <c r="D13"/>
  <c r="H13"/>
  <c r="K13"/>
  <c r="M13"/>
  <c r="R13"/>
  <c r="R14"/>
  <c r="B16"/>
  <c r="B18" s="1"/>
  <c r="B19" s="1"/>
  <c r="B21" s="1"/>
  <c r="B22" s="1"/>
  <c r="B25" s="1"/>
  <c r="B26" s="1"/>
  <c r="B27" s="1"/>
  <c r="B28" s="1"/>
  <c r="B31" s="1"/>
  <c r="B33" s="1"/>
  <c r="B36" s="1"/>
  <c r="B37" s="1"/>
  <c r="B38" s="1"/>
  <c r="B39" s="1"/>
  <c r="K16"/>
  <c r="M16"/>
  <c r="K17"/>
  <c r="M17"/>
  <c r="K18"/>
  <c r="M18"/>
  <c r="K19"/>
  <c r="M19"/>
  <c r="K20"/>
  <c r="M20"/>
  <c r="K21"/>
  <c r="M21"/>
  <c r="K22"/>
  <c r="M22"/>
  <c r="K23"/>
  <c r="M23"/>
  <c r="K24"/>
  <c r="M24"/>
  <c r="K25"/>
  <c r="M25"/>
  <c r="K26"/>
  <c r="M26"/>
  <c r="K27"/>
  <c r="M27"/>
  <c r="K28"/>
  <c r="M28"/>
  <c r="K29"/>
  <c r="M29"/>
  <c r="K30"/>
  <c r="M30"/>
  <c r="K31"/>
  <c r="M31"/>
  <c r="K32"/>
  <c r="M32"/>
  <c r="K33"/>
  <c r="M33"/>
  <c r="K34"/>
  <c r="M34"/>
  <c r="K35"/>
  <c r="M35"/>
  <c r="K36"/>
  <c r="M36"/>
  <c r="K37"/>
  <c r="M37"/>
  <c r="K38"/>
  <c r="M38"/>
  <c r="K39"/>
  <c r="M39"/>
  <c r="K40"/>
  <c r="M40"/>
  <c r="K41"/>
  <c r="M41"/>
  <c r="K42"/>
  <c r="M42"/>
  <c r="K43"/>
  <c r="D44"/>
  <c r="L48"/>
  <c r="E20" i="11" l="1"/>
  <c r="F20"/>
  <c r="H20"/>
  <c r="E36"/>
  <c r="F36"/>
  <c r="H36"/>
  <c r="F18"/>
  <c r="E18"/>
  <c r="E34"/>
  <c r="F34"/>
  <c r="F23"/>
  <c r="E23"/>
  <c r="H21"/>
  <c r="E21"/>
  <c r="F21"/>
  <c r="H37"/>
  <c r="E37"/>
  <c r="F37"/>
  <c r="F39"/>
  <c r="E39"/>
  <c r="E32"/>
  <c r="F32"/>
  <c r="H32"/>
  <c r="E30"/>
  <c r="F30"/>
  <c r="F16"/>
  <c r="E16"/>
  <c r="F40"/>
  <c r="E40"/>
  <c r="E17"/>
  <c r="F17"/>
  <c r="E33"/>
  <c r="F33"/>
  <c r="F35"/>
  <c r="E35"/>
  <c r="E28"/>
  <c r="F28"/>
  <c r="R11"/>
  <c r="O11"/>
  <c r="E26"/>
  <c r="H26"/>
  <c r="F26"/>
  <c r="F31"/>
  <c r="E31"/>
  <c r="H15"/>
  <c r="F15"/>
  <c r="E15"/>
  <c r="H29"/>
  <c r="F29"/>
  <c r="E29"/>
  <c r="F19"/>
  <c r="E19"/>
  <c r="E24"/>
  <c r="F24"/>
  <c r="H24"/>
  <c r="F14"/>
  <c r="E14"/>
  <c r="E22"/>
  <c r="F22"/>
  <c r="E38"/>
  <c r="H38"/>
  <c r="F38"/>
  <c r="F27"/>
  <c r="E27"/>
  <c r="H27"/>
  <c r="T41"/>
  <c r="N41"/>
  <c r="D41"/>
  <c r="P41"/>
  <c r="E13"/>
  <c r="F13"/>
  <c r="S41"/>
  <c r="Q41"/>
  <c r="E25"/>
  <c r="F25"/>
  <c r="X13" i="10"/>
  <c r="S43"/>
  <c r="S46" s="1"/>
  <c r="S47" s="1"/>
  <c r="S44"/>
  <c r="J38"/>
  <c r="I38"/>
  <c r="J26"/>
  <c r="I26"/>
  <c r="P44"/>
  <c r="P43"/>
  <c r="J27"/>
  <c r="I27"/>
  <c r="F41"/>
  <c r="F42" s="1"/>
  <c r="K41"/>
  <c r="L41"/>
  <c r="M41" s="1"/>
  <c r="X14"/>
  <c r="X15" s="1"/>
  <c r="X16" s="1"/>
  <c r="X62" i="4"/>
  <c r="X63" s="1"/>
  <c r="E28" i="9"/>
  <c r="F28"/>
  <c r="F23"/>
  <c r="E23"/>
  <c r="F39"/>
  <c r="E39"/>
  <c r="E22"/>
  <c r="F22"/>
  <c r="H38"/>
  <c r="E38"/>
  <c r="F38"/>
  <c r="H15"/>
  <c r="E15"/>
  <c r="F15"/>
  <c r="H29"/>
  <c r="E29"/>
  <c r="F29"/>
  <c r="E24"/>
  <c r="F24"/>
  <c r="H24"/>
  <c r="R11"/>
  <c r="O11"/>
  <c r="F19"/>
  <c r="E19"/>
  <c r="F35"/>
  <c r="E35"/>
  <c r="E18"/>
  <c r="F18"/>
  <c r="E34"/>
  <c r="F34"/>
  <c r="T41"/>
  <c r="N41"/>
  <c r="P41"/>
  <c r="E13"/>
  <c r="Q41"/>
  <c r="D41"/>
  <c r="F13"/>
  <c r="S41"/>
  <c r="E25"/>
  <c r="F25"/>
  <c r="E20"/>
  <c r="F20"/>
  <c r="H20"/>
  <c r="E36"/>
  <c r="F36"/>
  <c r="H36"/>
  <c r="F16"/>
  <c r="E16"/>
  <c r="F31"/>
  <c r="E31"/>
  <c r="E30"/>
  <c r="F30"/>
  <c r="H21"/>
  <c r="E21"/>
  <c r="F21"/>
  <c r="H37"/>
  <c r="E37"/>
  <c r="F37"/>
  <c r="E32"/>
  <c r="F32"/>
  <c r="H32"/>
  <c r="F14"/>
  <c r="E14"/>
  <c r="F27"/>
  <c r="H27"/>
  <c r="E27"/>
  <c r="F40"/>
  <c r="E40"/>
  <c r="H26"/>
  <c r="E26"/>
  <c r="F26"/>
  <c r="E17"/>
  <c r="F17"/>
  <c r="E33"/>
  <c r="F33"/>
  <c r="P94" i="4"/>
  <c r="R93"/>
  <c r="I60"/>
  <c r="J60"/>
  <c r="H88"/>
  <c r="E17" i="7"/>
  <c r="F13"/>
  <c r="F29"/>
  <c r="F17"/>
  <c r="E15"/>
  <c r="E18"/>
  <c r="E25"/>
  <c r="E13"/>
  <c r="R28" i="4"/>
  <c r="D7"/>
  <c r="H7" s="1"/>
  <c r="K29" i="6"/>
  <c r="J29"/>
  <c r="J40"/>
  <c r="K40"/>
  <c r="Q47"/>
  <c r="Q46"/>
  <c r="T47"/>
  <c r="T46"/>
  <c r="J35"/>
  <c r="K35"/>
  <c r="J24"/>
  <c r="K24"/>
  <c r="K30"/>
  <c r="J30"/>
  <c r="J41"/>
  <c r="K41"/>
  <c r="M44"/>
  <c r="N44" s="1"/>
  <c r="Y17"/>
  <c r="J39"/>
  <c r="K39"/>
  <c r="K23"/>
  <c r="J23"/>
  <c r="J32"/>
  <c r="K32"/>
  <c r="J18"/>
  <c r="K18"/>
  <c r="J27"/>
  <c r="K27"/>
  <c r="G44"/>
  <c r="F44"/>
  <c r="E6" i="4"/>
  <c r="R36"/>
  <c r="N13"/>
  <c r="R21"/>
  <c r="R14"/>
  <c r="D14"/>
  <c r="E14" s="1"/>
  <c r="D23"/>
  <c r="F23" s="1"/>
  <c r="P11"/>
  <c r="D39"/>
  <c r="F39" s="1"/>
  <c r="D18"/>
  <c r="E18" s="1"/>
  <c r="S45"/>
  <c r="D37"/>
  <c r="H37" s="1"/>
  <c r="P45"/>
  <c r="D38"/>
  <c r="H38" s="1"/>
  <c r="C11"/>
  <c r="F28"/>
  <c r="E28"/>
  <c r="D27"/>
  <c r="H27" s="1"/>
  <c r="D26"/>
  <c r="H26" s="1"/>
  <c r="N11"/>
  <c r="R11" s="1"/>
  <c r="D24"/>
  <c r="H24" s="1"/>
  <c r="D15"/>
  <c r="H15" s="1"/>
  <c r="D21"/>
  <c r="H21" s="1"/>
  <c r="D22"/>
  <c r="D17"/>
  <c r="D25"/>
  <c r="D30"/>
  <c r="S11"/>
  <c r="D13"/>
  <c r="E13" s="1"/>
  <c r="D33"/>
  <c r="D32"/>
  <c r="H32" s="1"/>
  <c r="D31"/>
  <c r="D16"/>
  <c r="D19"/>
  <c r="D36"/>
  <c r="H36" s="1"/>
  <c r="D35"/>
  <c r="D20"/>
  <c r="H20" s="1"/>
  <c r="I20" s="1"/>
  <c r="D34"/>
  <c r="D40"/>
  <c r="D29"/>
  <c r="H29" s="1"/>
  <c r="R31"/>
  <c r="R15"/>
  <c r="O26"/>
  <c r="B5"/>
  <c r="O16"/>
  <c r="R29"/>
  <c r="R20"/>
  <c r="R7"/>
  <c r="R37"/>
  <c r="O37"/>
  <c r="O38"/>
  <c r="R38"/>
  <c r="R27"/>
  <c r="O27"/>
  <c r="O33"/>
  <c r="R33"/>
  <c r="R19"/>
  <c r="O19"/>
  <c r="R17"/>
  <c r="O17"/>
  <c r="R22"/>
  <c r="O22"/>
  <c r="R32"/>
  <c r="R39"/>
  <c r="R25"/>
  <c r="O25"/>
  <c r="R23"/>
  <c r="O23"/>
  <c r="R24"/>
  <c r="O24"/>
  <c r="R30"/>
  <c r="R18"/>
  <c r="O18"/>
  <c r="R35"/>
  <c r="R34"/>
  <c r="E8" i="1"/>
  <c r="C7"/>
  <c r="F30" i="2"/>
  <c r="L13" i="1"/>
  <c r="H7"/>
  <c r="B9"/>
  <c r="B10" s="1"/>
  <c r="I13"/>
  <c r="F20"/>
  <c r="G20" s="1"/>
  <c r="H20" s="1"/>
  <c r="I20" s="1"/>
  <c r="F24"/>
  <c r="G24" s="1"/>
  <c r="H24" s="1"/>
  <c r="L24" s="1"/>
  <c r="F28"/>
  <c r="G28" s="1"/>
  <c r="H28" s="1"/>
  <c r="I28" s="1"/>
  <c r="F32"/>
  <c r="G32" s="1"/>
  <c r="H32" s="1"/>
  <c r="L32" s="1"/>
  <c r="F36"/>
  <c r="G36" s="1"/>
  <c r="H36" s="1"/>
  <c r="I36" s="1"/>
  <c r="F40"/>
  <c r="G40" s="1"/>
  <c r="H40" s="1"/>
  <c r="L40" s="1"/>
  <c r="F45"/>
  <c r="G45" s="1"/>
  <c r="H45" s="1"/>
  <c r="F19"/>
  <c r="G19" s="1"/>
  <c r="H19" s="1"/>
  <c r="I19" s="1"/>
  <c r="F23"/>
  <c r="G23" s="1"/>
  <c r="H23" s="1"/>
  <c r="I23" s="1"/>
  <c r="F27"/>
  <c r="G27" s="1"/>
  <c r="H27" s="1"/>
  <c r="L27" s="1"/>
  <c r="F31"/>
  <c r="G31" s="1"/>
  <c r="H31" s="1"/>
  <c r="D37" i="2" s="1"/>
  <c r="F35" i="1"/>
  <c r="G35" s="1"/>
  <c r="H35" s="1"/>
  <c r="I35" s="1"/>
  <c r="F39"/>
  <c r="G39" s="1"/>
  <c r="H39" s="1"/>
  <c r="L39" s="1"/>
  <c r="F43"/>
  <c r="G43" s="1"/>
  <c r="H43" s="1"/>
  <c r="F21"/>
  <c r="G21" s="1"/>
  <c r="H21" s="1"/>
  <c r="I21" s="1"/>
  <c r="F29"/>
  <c r="G29" s="1"/>
  <c r="H29" s="1"/>
  <c r="I29" s="1"/>
  <c r="F37"/>
  <c r="G37" s="1"/>
  <c r="H37" s="1"/>
  <c r="L37" s="1"/>
  <c r="F16"/>
  <c r="G16" s="1"/>
  <c r="H16" s="1"/>
  <c r="L16" s="1"/>
  <c r="F18"/>
  <c r="G18" s="1"/>
  <c r="H18" s="1"/>
  <c r="I18" s="1"/>
  <c r="F22"/>
  <c r="G22" s="1"/>
  <c r="H22" s="1"/>
  <c r="L22" s="1"/>
  <c r="F26"/>
  <c r="G26" s="1"/>
  <c r="H26" s="1"/>
  <c r="L26" s="1"/>
  <c r="F30"/>
  <c r="G30" s="1"/>
  <c r="H30" s="1"/>
  <c r="I30" s="1"/>
  <c r="F34"/>
  <c r="G34" s="1"/>
  <c r="H34" s="1"/>
  <c r="I34" s="1"/>
  <c r="F38"/>
  <c r="G38" s="1"/>
  <c r="H38" s="1"/>
  <c r="I38" s="1"/>
  <c r="F42"/>
  <c r="G42" s="1"/>
  <c r="H42" s="1"/>
  <c r="I42" s="1"/>
  <c r="F17"/>
  <c r="G17" s="1"/>
  <c r="H17" s="1"/>
  <c r="I17" s="1"/>
  <c r="F25"/>
  <c r="G25" s="1"/>
  <c r="H25" s="1"/>
  <c r="I25" s="1"/>
  <c r="F33"/>
  <c r="G33" s="1"/>
  <c r="H33" s="1"/>
  <c r="I33" s="1"/>
  <c r="F41"/>
  <c r="G41" s="1"/>
  <c r="H41" s="1"/>
  <c r="I41" s="1"/>
  <c r="R15"/>
  <c r="C9"/>
  <c r="H14"/>
  <c r="B5"/>
  <c r="L8"/>
  <c r="L9" s="1"/>
  <c r="E40"/>
  <c r="E27"/>
  <c r="E25"/>
  <c r="E22"/>
  <c r="E20"/>
  <c r="D14"/>
  <c r="M14"/>
  <c r="S44" i="11" l="1"/>
  <c r="S43"/>
  <c r="S46" s="1"/>
  <c r="S47" s="1"/>
  <c r="J27"/>
  <c r="I27"/>
  <c r="I38"/>
  <c r="J38"/>
  <c r="J24"/>
  <c r="I24"/>
  <c r="I29"/>
  <c r="J29"/>
  <c r="I26"/>
  <c r="J26"/>
  <c r="F41"/>
  <c r="P44"/>
  <c r="P43"/>
  <c r="K41"/>
  <c r="L41"/>
  <c r="M41" s="1"/>
  <c r="X14"/>
  <c r="I15"/>
  <c r="J15"/>
  <c r="J36"/>
  <c r="I36"/>
  <c r="E41"/>
  <c r="J32"/>
  <c r="I32"/>
  <c r="J37"/>
  <c r="I37"/>
  <c r="J20"/>
  <c r="I20"/>
  <c r="J21"/>
  <c r="I21"/>
  <c r="G24" i="10"/>
  <c r="G21"/>
  <c r="G13"/>
  <c r="G25"/>
  <c r="H25" s="1"/>
  <c r="G28"/>
  <c r="H28" s="1"/>
  <c r="G17"/>
  <c r="H17" s="1"/>
  <c r="G37"/>
  <c r="G15"/>
  <c r="G20"/>
  <c r="G36"/>
  <c r="G33"/>
  <c r="H33" s="1"/>
  <c r="G29"/>
  <c r="G32"/>
  <c r="G35"/>
  <c r="H35" s="1"/>
  <c r="G22"/>
  <c r="H22" s="1"/>
  <c r="G19"/>
  <c r="H19" s="1"/>
  <c r="G31"/>
  <c r="H31" s="1"/>
  <c r="G39"/>
  <c r="H39" s="1"/>
  <c r="G27"/>
  <c r="G34"/>
  <c r="H34" s="1"/>
  <c r="G26"/>
  <c r="G14"/>
  <c r="H14" s="1"/>
  <c r="G40"/>
  <c r="H40" s="1"/>
  <c r="G23"/>
  <c r="H23" s="1"/>
  <c r="G18"/>
  <c r="H18" s="1"/>
  <c r="G16"/>
  <c r="H16" s="1"/>
  <c r="G30"/>
  <c r="H30" s="1"/>
  <c r="G38"/>
  <c r="P46"/>
  <c r="R43"/>
  <c r="J32" i="9"/>
  <c r="I32"/>
  <c r="K41"/>
  <c r="L41"/>
  <c r="M41" s="1"/>
  <c r="X14"/>
  <c r="I38"/>
  <c r="J38"/>
  <c r="E41"/>
  <c r="J27"/>
  <c r="I27"/>
  <c r="J36"/>
  <c r="I36"/>
  <c r="F41"/>
  <c r="J24"/>
  <c r="I24"/>
  <c r="I26"/>
  <c r="J26"/>
  <c r="I37"/>
  <c r="J37"/>
  <c r="J20"/>
  <c r="I20"/>
  <c r="I29"/>
  <c r="J29"/>
  <c r="I21"/>
  <c r="J21"/>
  <c r="S44"/>
  <c r="S43"/>
  <c r="S46" s="1"/>
  <c r="S47" s="1"/>
  <c r="P44"/>
  <c r="P43"/>
  <c r="I15"/>
  <c r="J15"/>
  <c r="I88" i="4"/>
  <c r="T90" s="1"/>
  <c r="T93" s="1"/>
  <c r="T94" s="1"/>
  <c r="F18"/>
  <c r="E39"/>
  <c r="J36"/>
  <c r="I36"/>
  <c r="J32"/>
  <c r="I32"/>
  <c r="J21"/>
  <c r="I21"/>
  <c r="J26"/>
  <c r="I26"/>
  <c r="J37"/>
  <c r="I37"/>
  <c r="J29"/>
  <c r="I29"/>
  <c r="J24"/>
  <c r="I24"/>
  <c r="J38"/>
  <c r="I38"/>
  <c r="J15"/>
  <c r="I15"/>
  <c r="J27"/>
  <c r="I27"/>
  <c r="F14"/>
  <c r="G45" i="6"/>
  <c r="Y16"/>
  <c r="Y18" s="1"/>
  <c r="Y19" s="1"/>
  <c r="S46"/>
  <c r="Q49"/>
  <c r="T49"/>
  <c r="U46"/>
  <c r="N6" i="4"/>
  <c r="E23"/>
  <c r="O13"/>
  <c r="R13"/>
  <c r="Q41"/>
  <c r="F22"/>
  <c r="E22"/>
  <c r="F25"/>
  <c r="E25"/>
  <c r="O11"/>
  <c r="F26"/>
  <c r="E26"/>
  <c r="F20"/>
  <c r="E20"/>
  <c r="F38"/>
  <c r="E38"/>
  <c r="E30"/>
  <c r="F30"/>
  <c r="E24"/>
  <c r="F24"/>
  <c r="E34"/>
  <c r="F34"/>
  <c r="E17"/>
  <c r="F17"/>
  <c r="F29"/>
  <c r="E29"/>
  <c r="F40"/>
  <c r="E40"/>
  <c r="E16"/>
  <c r="F16"/>
  <c r="E15"/>
  <c r="F15"/>
  <c r="T41"/>
  <c r="E36"/>
  <c r="F36"/>
  <c r="D41"/>
  <c r="F31"/>
  <c r="E31"/>
  <c r="E21"/>
  <c r="F21"/>
  <c r="S41"/>
  <c r="F19"/>
  <c r="E19"/>
  <c r="F32"/>
  <c r="E32"/>
  <c r="F37"/>
  <c r="E37"/>
  <c r="F27"/>
  <c r="E27"/>
  <c r="E35"/>
  <c r="F35"/>
  <c r="N41"/>
  <c r="P41"/>
  <c r="E33"/>
  <c r="F33"/>
  <c r="F13"/>
  <c r="E19" i="1"/>
  <c r="E17"/>
  <c r="E29"/>
  <c r="E32"/>
  <c r="E35"/>
  <c r="E37"/>
  <c r="E39"/>
  <c r="L17"/>
  <c r="L20"/>
  <c r="L25"/>
  <c r="I40"/>
  <c r="D35" i="2"/>
  <c r="L30" i="1"/>
  <c r="I16"/>
  <c r="I24"/>
  <c r="L21"/>
  <c r="L31"/>
  <c r="L28"/>
  <c r="I31"/>
  <c r="I26"/>
  <c r="L18"/>
  <c r="D38" i="2"/>
  <c r="I32" i="1"/>
  <c r="I27"/>
  <c r="L34"/>
  <c r="I39"/>
  <c r="L42"/>
  <c r="L38"/>
  <c r="L29"/>
  <c r="L35"/>
  <c r="L36"/>
  <c r="L23"/>
  <c r="I37"/>
  <c r="L33"/>
  <c r="L19"/>
  <c r="I22"/>
  <c r="D39" i="2"/>
  <c r="L41" i="1"/>
  <c r="J14"/>
  <c r="E23"/>
  <c r="E24"/>
  <c r="E33"/>
  <c r="E34"/>
  <c r="E26"/>
  <c r="E38"/>
  <c r="E42"/>
  <c r="N14"/>
  <c r="E18"/>
  <c r="K44" s="1"/>
  <c r="E21"/>
  <c r="E31"/>
  <c r="E43"/>
  <c r="E16"/>
  <c r="E28"/>
  <c r="E36"/>
  <c r="E41"/>
  <c r="E30"/>
  <c r="I14"/>
  <c r="L14"/>
  <c r="X15" i="11" l="1"/>
  <c r="X16" s="1"/>
  <c r="X13"/>
  <c r="F42"/>
  <c r="P46"/>
  <c r="R43"/>
  <c r="J18" i="10"/>
  <c r="I18"/>
  <c r="I28"/>
  <c r="J28" s="1"/>
  <c r="J16"/>
  <c r="I16"/>
  <c r="J39"/>
  <c r="I39"/>
  <c r="J17"/>
  <c r="I17"/>
  <c r="J30"/>
  <c r="I30"/>
  <c r="J40"/>
  <c r="I40"/>
  <c r="J22"/>
  <c r="I22"/>
  <c r="J33"/>
  <c r="I33"/>
  <c r="G41"/>
  <c r="H13"/>
  <c r="P47"/>
  <c r="R46"/>
  <c r="J31"/>
  <c r="I31"/>
  <c r="J14"/>
  <c r="I14"/>
  <c r="J35"/>
  <c r="I35"/>
  <c r="J23"/>
  <c r="I23"/>
  <c r="J34"/>
  <c r="I34"/>
  <c r="J19"/>
  <c r="I19"/>
  <c r="J25"/>
  <c r="I25"/>
  <c r="P46" i="9"/>
  <c r="R43"/>
  <c r="X13"/>
  <c r="X15" s="1"/>
  <c r="X16" s="1"/>
  <c r="F42"/>
  <c r="J88" i="4"/>
  <c r="T91" s="1"/>
  <c r="X14"/>
  <c r="K41"/>
  <c r="H33" i="6"/>
  <c r="I33" s="1"/>
  <c r="H37"/>
  <c r="I37" s="1"/>
  <c r="H24"/>
  <c r="H17"/>
  <c r="I17" s="1"/>
  <c r="H22"/>
  <c r="I22" s="1"/>
  <c r="H40"/>
  <c r="H19"/>
  <c r="I19" s="1"/>
  <c r="H32"/>
  <c r="H42"/>
  <c r="I42" s="1"/>
  <c r="H23"/>
  <c r="H20"/>
  <c r="I20" s="1"/>
  <c r="H43"/>
  <c r="I43" s="1"/>
  <c r="H39"/>
  <c r="H30"/>
  <c r="H26"/>
  <c r="I26" s="1"/>
  <c r="H16"/>
  <c r="H27"/>
  <c r="H35"/>
  <c r="H38"/>
  <c r="I38" s="1"/>
  <c r="H28"/>
  <c r="I28" s="1"/>
  <c r="H25"/>
  <c r="I25" s="1"/>
  <c r="H18"/>
  <c r="H34"/>
  <c r="I34" s="1"/>
  <c r="H21"/>
  <c r="I21" s="1"/>
  <c r="H36"/>
  <c r="I36" s="1"/>
  <c r="H31"/>
  <c r="I31" s="1"/>
  <c r="H29"/>
  <c r="H41"/>
  <c r="U49"/>
  <c r="T50"/>
  <c r="Q50"/>
  <c r="S49"/>
  <c r="E41" i="4"/>
  <c r="X13" s="1"/>
  <c r="L41"/>
  <c r="M41" s="1"/>
  <c r="S44"/>
  <c r="P44"/>
  <c r="P43"/>
  <c r="P46" s="1"/>
  <c r="S43"/>
  <c r="F41"/>
  <c r="D40" i="2"/>
  <c r="E44" i="1"/>
  <c r="J44"/>
  <c r="P44"/>
  <c r="H44"/>
  <c r="J47" s="1"/>
  <c r="E45"/>
  <c r="M44"/>
  <c r="N44"/>
  <c r="F44" s="1"/>
  <c r="G44" s="1"/>
  <c r="G36" i="11" l="1"/>
  <c r="G29"/>
  <c r="G30"/>
  <c r="H30" s="1"/>
  <c r="G20"/>
  <c r="G31"/>
  <c r="H31" s="1"/>
  <c r="G28"/>
  <c r="H28" s="1"/>
  <c r="G13"/>
  <c r="G38"/>
  <c r="G39"/>
  <c r="H39" s="1"/>
  <c r="G17"/>
  <c r="H17" s="1"/>
  <c r="G34"/>
  <c r="H34" s="1"/>
  <c r="G25"/>
  <c r="H25" s="1"/>
  <c r="G23"/>
  <c r="H23" s="1"/>
  <c r="G14"/>
  <c r="H14" s="1"/>
  <c r="G40"/>
  <c r="H40" s="1"/>
  <c r="G21"/>
  <c r="G15"/>
  <c r="G16"/>
  <c r="H16" s="1"/>
  <c r="G19"/>
  <c r="H19" s="1"/>
  <c r="G18"/>
  <c r="H18" s="1"/>
  <c r="G37"/>
  <c r="G33"/>
  <c r="H33" s="1"/>
  <c r="G22"/>
  <c r="H22" s="1"/>
  <c r="G24"/>
  <c r="G26"/>
  <c r="G32"/>
  <c r="G27"/>
  <c r="G35"/>
  <c r="H35" s="1"/>
  <c r="P47"/>
  <c r="R46"/>
  <c r="I13" i="10"/>
  <c r="J13" s="1"/>
  <c r="H41"/>
  <c r="G26" i="9"/>
  <c r="G29"/>
  <c r="G13"/>
  <c r="G20"/>
  <c r="G33"/>
  <c r="H33" s="1"/>
  <c r="G38"/>
  <c r="G32"/>
  <c r="G22"/>
  <c r="H22" s="1"/>
  <c r="G25"/>
  <c r="H25" s="1"/>
  <c r="G36"/>
  <c r="G24"/>
  <c r="G31"/>
  <c r="H31" s="1"/>
  <c r="G28"/>
  <c r="H28" s="1"/>
  <c r="G40"/>
  <c r="H40" s="1"/>
  <c r="G37"/>
  <c r="G19"/>
  <c r="H19" s="1"/>
  <c r="G21"/>
  <c r="G15"/>
  <c r="G16"/>
  <c r="H16" s="1"/>
  <c r="G17"/>
  <c r="H17" s="1"/>
  <c r="G35"/>
  <c r="H35" s="1"/>
  <c r="G27"/>
  <c r="G18"/>
  <c r="H18" s="1"/>
  <c r="G14"/>
  <c r="H14" s="1"/>
  <c r="G30"/>
  <c r="H30" s="1"/>
  <c r="G39"/>
  <c r="H39" s="1"/>
  <c r="G34"/>
  <c r="H34" s="1"/>
  <c r="G23"/>
  <c r="H23" s="1"/>
  <c r="P47"/>
  <c r="R46"/>
  <c r="G33" i="7"/>
  <c r="G11"/>
  <c r="G29"/>
  <c r="G21"/>
  <c r="G20"/>
  <c r="G26"/>
  <c r="G32"/>
  <c r="G16"/>
  <c r="G24"/>
  <c r="G25"/>
  <c r="G30"/>
  <c r="G35"/>
  <c r="G17"/>
  <c r="G22"/>
  <c r="G14"/>
  <c r="G34"/>
  <c r="G28"/>
  <c r="G15"/>
  <c r="G18"/>
  <c r="G19"/>
  <c r="G13"/>
  <c r="G23"/>
  <c r="G9"/>
  <c r="G10"/>
  <c r="G12"/>
  <c r="G27"/>
  <c r="G31"/>
  <c r="J28" i="6"/>
  <c r="K28" s="1"/>
  <c r="J43"/>
  <c r="K43"/>
  <c r="J17"/>
  <c r="K17"/>
  <c r="J36"/>
  <c r="K36"/>
  <c r="J25"/>
  <c r="K25"/>
  <c r="J42"/>
  <c r="K42"/>
  <c r="J22"/>
  <c r="K22"/>
  <c r="J33"/>
  <c r="K33"/>
  <c r="J21"/>
  <c r="K21"/>
  <c r="H44"/>
  <c r="I16"/>
  <c r="J31"/>
  <c r="K31"/>
  <c r="J37"/>
  <c r="K37" s="1"/>
  <c r="J34"/>
  <c r="K34"/>
  <c r="J38"/>
  <c r="K38"/>
  <c r="J26"/>
  <c r="K26"/>
  <c r="J20"/>
  <c r="K20"/>
  <c r="J19"/>
  <c r="K19" s="1"/>
  <c r="X15" i="4"/>
  <c r="X16" s="1"/>
  <c r="S46"/>
  <c r="R43"/>
  <c r="F42"/>
  <c r="P47"/>
  <c r="R46"/>
  <c r="M46" i="1"/>
  <c r="N46" s="1"/>
  <c r="J46"/>
  <c r="L46" s="1"/>
  <c r="M47"/>
  <c r="I33" i="11" l="1"/>
  <c r="J33" s="1"/>
  <c r="I16"/>
  <c r="J16" s="1"/>
  <c r="I14"/>
  <c r="J14" s="1"/>
  <c r="I17"/>
  <c r="J17" s="1"/>
  <c r="I28"/>
  <c r="J28" s="1"/>
  <c r="I22"/>
  <c r="J22" s="1"/>
  <c r="I19"/>
  <c r="J19" s="1"/>
  <c r="J40"/>
  <c r="I40"/>
  <c r="I34"/>
  <c r="J34" s="1"/>
  <c r="G41"/>
  <c r="H13"/>
  <c r="I30"/>
  <c r="J30" s="1"/>
  <c r="I35"/>
  <c r="J35" s="1"/>
  <c r="I18"/>
  <c r="J18" s="1"/>
  <c r="I25"/>
  <c r="J25" s="1"/>
  <c r="I23"/>
  <c r="J23" s="1"/>
  <c r="I39"/>
  <c r="J39" s="1"/>
  <c r="I31"/>
  <c r="J31" s="1"/>
  <c r="J41" i="10"/>
  <c r="T44" s="1"/>
  <c r="I41"/>
  <c r="T43" s="1"/>
  <c r="T46" s="1"/>
  <c r="T47" s="1"/>
  <c r="I34" i="9"/>
  <c r="J34" s="1"/>
  <c r="I18"/>
  <c r="J18" s="1"/>
  <c r="I16"/>
  <c r="J16" s="1"/>
  <c r="G41"/>
  <c r="H13"/>
  <c r="I23"/>
  <c r="J23" s="1"/>
  <c r="I14"/>
  <c r="J14" s="1"/>
  <c r="I17"/>
  <c r="J17" s="1"/>
  <c r="I19"/>
  <c r="J19" s="1"/>
  <c r="I31"/>
  <c r="J31" s="1"/>
  <c r="I22"/>
  <c r="J22" s="1"/>
  <c r="I30"/>
  <c r="J30" s="1"/>
  <c r="I28"/>
  <c r="J28" s="1"/>
  <c r="I25"/>
  <c r="J25" s="1"/>
  <c r="I33"/>
  <c r="J33" s="1"/>
  <c r="J35"/>
  <c r="I35"/>
  <c r="I39"/>
  <c r="J39" s="1"/>
  <c r="J40"/>
  <c r="I40"/>
  <c r="J16" i="6"/>
  <c r="K16" s="1"/>
  <c r="S47" i="4"/>
  <c r="G37"/>
  <c r="G28"/>
  <c r="H28" s="1"/>
  <c r="I28" s="1"/>
  <c r="G39"/>
  <c r="H39" s="1"/>
  <c r="I39" s="1"/>
  <c r="G23"/>
  <c r="H23" s="1"/>
  <c r="I23" s="1"/>
  <c r="G18"/>
  <c r="H18" s="1"/>
  <c r="I18" s="1"/>
  <c r="G14"/>
  <c r="H14" s="1"/>
  <c r="I14" s="1"/>
  <c r="G34"/>
  <c r="H34" s="1"/>
  <c r="I34" s="1"/>
  <c r="G26"/>
  <c r="G15"/>
  <c r="G33"/>
  <c r="H33" s="1"/>
  <c r="I33" s="1"/>
  <c r="G31"/>
  <c r="H31" s="1"/>
  <c r="I31" s="1"/>
  <c r="G13"/>
  <c r="H13" s="1"/>
  <c r="G20"/>
  <c r="G19"/>
  <c r="H19" s="1"/>
  <c r="I19" s="1"/>
  <c r="G27"/>
  <c r="G38"/>
  <c r="G30"/>
  <c r="H30" s="1"/>
  <c r="I30" s="1"/>
  <c r="G16"/>
  <c r="H16" s="1"/>
  <c r="I16" s="1"/>
  <c r="G36"/>
  <c r="G25"/>
  <c r="H25" s="1"/>
  <c r="I25" s="1"/>
  <c r="G21"/>
  <c r="G35"/>
  <c r="H35" s="1"/>
  <c r="I35" s="1"/>
  <c r="G40"/>
  <c r="H40" s="1"/>
  <c r="G17"/>
  <c r="H17" s="1"/>
  <c r="I17" s="1"/>
  <c r="G24"/>
  <c r="G32"/>
  <c r="G29"/>
  <c r="G22"/>
  <c r="H22" s="1"/>
  <c r="I22" s="1"/>
  <c r="I48" i="1"/>
  <c r="J13" i="11" l="1"/>
  <c r="I13"/>
  <c r="H41"/>
  <c r="I13" i="9"/>
  <c r="J13" s="1"/>
  <c r="H41"/>
  <c r="I13" i="4"/>
  <c r="H41"/>
  <c r="I41" s="1"/>
  <c r="J41" s="1"/>
  <c r="J40"/>
  <c r="I40"/>
  <c r="J17"/>
  <c r="J20"/>
  <c r="J31"/>
  <c r="J34"/>
  <c r="J14"/>
  <c r="J18"/>
  <c r="J25"/>
  <c r="J22"/>
  <c r="J19"/>
  <c r="J39"/>
  <c r="J35"/>
  <c r="J30"/>
  <c r="J13"/>
  <c r="J23"/>
  <c r="J28"/>
  <c r="J16"/>
  <c r="J33"/>
  <c r="G41"/>
  <c r="J48" i="1"/>
  <c r="J49" s="1"/>
  <c r="M48"/>
  <c r="M49" s="1"/>
  <c r="J41" i="11" l="1"/>
  <c r="T44" s="1"/>
  <c r="I41"/>
  <c r="T43" s="1"/>
  <c r="T46" s="1"/>
  <c r="T47" s="1"/>
  <c r="J41" i="9"/>
  <c r="T44" s="1"/>
  <c r="I41"/>
  <c r="T43" s="1"/>
  <c r="T46" s="1"/>
  <c r="T47" s="1"/>
  <c r="M50" i="1"/>
  <c r="N49"/>
  <c r="L49"/>
  <c r="J50"/>
</calcChain>
</file>

<file path=xl/sharedStrings.xml><?xml version="1.0" encoding="utf-8"?>
<sst xmlns="http://schemas.openxmlformats.org/spreadsheetml/2006/main" count="704" uniqueCount="119">
  <si>
    <t>NETTÓ JÖVEDELEM-%</t>
  </si>
  <si>
    <t>NETTÓ JÖVEDELEM-LEJ</t>
  </si>
  <si>
    <t>KÖLTSÉGEK</t>
  </si>
  <si>
    <t>BRUTTÓ ÁRRÉS - %</t>
  </si>
  <si>
    <t>BRUTTÓ ÁRRÉS - LEJ</t>
  </si>
  <si>
    <t>LEJ /KG</t>
  </si>
  <si>
    <t xml:space="preserve">BONTASI KOLTSEG </t>
  </si>
  <si>
    <t>APADAS**</t>
  </si>
  <si>
    <t>505-ÉRTÉKES CSONT**</t>
  </si>
  <si>
    <t>024-TABLA SZALONNA</t>
  </si>
  <si>
    <t>0271-SERTÉS CSONTO KARAJ SZALONAS</t>
  </si>
  <si>
    <t>027-SERTÉS ANGOL SZALONNA</t>
  </si>
  <si>
    <t>026-SERTÉS BÉLSZIN**</t>
  </si>
  <si>
    <t>0251-SERTÉS M. SZALONNA-II.</t>
  </si>
  <si>
    <t>025-SERTÉS MUNKA SZALONNA I.**</t>
  </si>
  <si>
    <t>0222- SERTES EGESZ BORDACSONT</t>
  </si>
  <si>
    <t>0221-SERTES BORDACSONT**</t>
  </si>
  <si>
    <t>022-SERTÉS GÁM CSONT**</t>
  </si>
  <si>
    <t>0211-SERTÉS MUNKA HÚS-LAPOCKA</t>
  </si>
  <si>
    <t>021-SERTÉS MUNKA HÚS**</t>
  </si>
  <si>
    <t>0201- SERTES HAS-CSASZARHUS</t>
  </si>
  <si>
    <t>020-SERTES HAS OLDALAS</t>
  </si>
  <si>
    <t>018-SERTÉS HAS CSONTTAL**</t>
  </si>
  <si>
    <t>016-SERTÉS FEHÉR KARAJ SZAL.N.</t>
  </si>
  <si>
    <t>015-SERTÉS FEHÉR KARAJ CS.N.**</t>
  </si>
  <si>
    <t>014-SERTÉS NYAKAS KARAJ CS.N.**</t>
  </si>
  <si>
    <t>013-SERTES EGYBE COMB</t>
  </si>
  <si>
    <t>012-SERTÉS COMB CS.N. SZALONAS</t>
  </si>
  <si>
    <t>011-SERTÉS LAPOCKA CS.N.**</t>
  </si>
  <si>
    <t>010-SERTÉS COMB CS.N.**</t>
  </si>
  <si>
    <t>008-TOKA SZALONNA</t>
  </si>
  <si>
    <t>007-SERTÉS CSÜLÖK**</t>
  </si>
  <si>
    <t>006-SERTÉS FEJ</t>
  </si>
  <si>
    <t>005-SERTES BOR**</t>
  </si>
  <si>
    <t>004-SERTÉS BOKA**</t>
  </si>
  <si>
    <t>ÜZLETI ÁR BRUTÓ</t>
  </si>
  <si>
    <t>ÜZLETI ÁR-NETTÓ</t>
  </si>
  <si>
    <t>DIF. %</t>
  </si>
  <si>
    <t>NAGYBANNI ÁR-BRUTÓ</t>
  </si>
  <si>
    <t>NAGYBANNI ÁR-NETTO</t>
  </si>
  <si>
    <t xml:space="preserve">ALAPÁR </t>
  </si>
  <si>
    <t>KG</t>
  </si>
  <si>
    <t>ÖSSZÉRTÉK(lej)</t>
  </si>
  <si>
    <t>A következő hús termékeket nyertük:</t>
  </si>
  <si>
    <t>LOT</t>
  </si>
  <si>
    <t>SERTÉS HÚS FÉLBE HASÍTVA</t>
  </si>
  <si>
    <t>PEEX0301</t>
  </si>
  <si>
    <t>NAGYBANNI ÁR</t>
  </si>
  <si>
    <t>TERMÉK MEGNEVEZÉSEK</t>
  </si>
  <si>
    <t>ALAPÁR</t>
  </si>
  <si>
    <t>A következő hús nyersanyagot daraboljuk:</t>
  </si>
  <si>
    <t>lej</t>
  </si>
  <si>
    <t>ÖSSZÉRTÉK</t>
  </si>
  <si>
    <t>LEJ/KG</t>
  </si>
  <si>
    <t>,</t>
  </si>
  <si>
    <t>SZ</t>
  </si>
  <si>
    <t>MENNYISÉG</t>
  </si>
  <si>
    <t>DÁTUM</t>
  </si>
  <si>
    <t>PETE</t>
  </si>
  <si>
    <t>ADRI</t>
  </si>
  <si>
    <t>PETRY-IMRE-</t>
  </si>
  <si>
    <t>BESZÁLLÍTÓ</t>
  </si>
  <si>
    <t>hetfo</t>
  </si>
  <si>
    <t>NAP</t>
  </si>
  <si>
    <t>HUS</t>
  </si>
  <si>
    <t xml:space="preserve">CSONT </t>
  </si>
  <si>
    <t>BOR</t>
  </si>
  <si>
    <t>ossz</t>
  </si>
  <si>
    <t>CS. CSULOK</t>
  </si>
  <si>
    <t>CSÜLÖK-----MUNKA HUS</t>
  </si>
  <si>
    <t>CSÜLÖK-----CSEMEGE CSULOK</t>
  </si>
  <si>
    <t>ERTEK</t>
  </si>
  <si>
    <t>004-SERTÉS BOKA</t>
  </si>
  <si>
    <t>005-SERTES BOR</t>
  </si>
  <si>
    <t>007-SERTÉS CSÜLÖK</t>
  </si>
  <si>
    <t>010-SERTÉS COMB CS.N.</t>
  </si>
  <si>
    <t>011-SERTÉS LAPOCKA CS.N.</t>
  </si>
  <si>
    <t>014-SERTÉS NYAKAS KARAJ CS.N.</t>
  </si>
  <si>
    <t>015-SERTÉS FEHÉR KARAJ CS.N.</t>
  </si>
  <si>
    <t>018-SERTÉS HAS CSONTTAL</t>
  </si>
  <si>
    <t>021-SERTÉS MUNKA HÚS</t>
  </si>
  <si>
    <t>022-SERTÉS GÁM CSONT</t>
  </si>
  <si>
    <t>0221-SERTES BORDACSONT</t>
  </si>
  <si>
    <t>025-SERTÉS MUNKA SZALONNA I.</t>
  </si>
  <si>
    <t>026-SERTÉS BÉLSZIN</t>
  </si>
  <si>
    <t>Max ár</t>
  </si>
  <si>
    <t>Normalizált ár</t>
  </si>
  <si>
    <t>Normalizált érték</t>
  </si>
  <si>
    <t>N.E RON</t>
  </si>
  <si>
    <t>Alapar</t>
  </si>
  <si>
    <t>Profit</t>
  </si>
  <si>
    <t>Profit %</t>
  </si>
  <si>
    <t>Súly alapján
Értek</t>
  </si>
  <si>
    <t>Vásárlási ár</t>
  </si>
  <si>
    <t>Elméleti eladási ár</t>
  </si>
  <si>
    <t>Elméleti profit</t>
  </si>
  <si>
    <t>Elméleti profit %</t>
  </si>
  <si>
    <t>ÜZLETI ÁR NETTO</t>
  </si>
  <si>
    <t>Elméleti netto eladási ár</t>
  </si>
  <si>
    <t>Vásárlási netto ár</t>
  </si>
  <si>
    <t>307-19092025</t>
  </si>
  <si>
    <t>PRET (FARA TVA)</t>
  </si>
  <si>
    <t>VALOARE</t>
  </si>
  <si>
    <t>TVA</t>
  </si>
  <si>
    <t>TOTAL</t>
  </si>
  <si>
    <t>NUMAR LOT</t>
  </si>
  <si>
    <t>SÚLY</t>
  </si>
  <si>
    <t>PROFIT</t>
  </si>
  <si>
    <t>ÖSSZÉRTÉKEK</t>
  </si>
  <si>
    <t xml:space="preserve">NUMAR FACTURA </t>
  </si>
  <si>
    <t>PRZ0108323/18-09-2025</t>
  </si>
  <si>
    <t>FURNIZOR :</t>
  </si>
  <si>
    <t>SC PRIMACOM SRL</t>
  </si>
  <si>
    <t>PRY0108504/19-09-2025</t>
  </si>
  <si>
    <t>308-19092025</t>
  </si>
  <si>
    <t>SC SICULUS MEAT SRL</t>
  </si>
  <si>
    <t>250292/23-09-2025</t>
  </si>
  <si>
    <t>PRY0109734/30-09-2025</t>
  </si>
  <si>
    <t>315-30092025</t>
  </si>
</sst>
</file>

<file path=xl/styles.xml><?xml version="1.0" encoding="utf-8"?>
<styleSheet xmlns="http://schemas.openxmlformats.org/spreadsheetml/2006/main">
  <numFmts count="18">
    <numFmt numFmtId="164" formatCode="0.000"/>
    <numFmt numFmtId="165" formatCode="#,##0&quot; DB FÉL SERTÉS&quot;"/>
    <numFmt numFmtId="166" formatCode="mm/dd/yy"/>
    <numFmt numFmtId="167" formatCode="#,##0.00&quot; &quot;[$lei-418]"/>
    <numFmt numFmtId="168" formatCode="#,##0.00\ [$lei-418]"/>
    <numFmt numFmtId="169" formatCode="#,##0.00\ _R_O_N"/>
    <numFmt numFmtId="170" formatCode="m/d/yy;@"/>
    <numFmt numFmtId="171" formatCode="0.0"/>
    <numFmt numFmtId="172" formatCode="#,##0.00&quot; LEJ/KG&quot;"/>
    <numFmt numFmtId="173" formatCode="#,##0.00&quot; LEJ / KG&quot;"/>
    <numFmt numFmtId="174" formatCode="#,##0.00&quot; kg/db&quot;"/>
    <numFmt numFmtId="175" formatCode="[$-409]d\-mmm\-yy;@"/>
    <numFmt numFmtId="176" formatCode="0.000000"/>
    <numFmt numFmtId="177" formatCode="#,##0.00\ [$RON]"/>
    <numFmt numFmtId="178" formatCode="0.000%"/>
    <numFmt numFmtId="179" formatCode="#,##0.000\ [$RON]"/>
    <numFmt numFmtId="180" formatCode="#,##0.00&quot;  KG&quot;"/>
    <numFmt numFmtId="181" formatCode="#,##0.000000\ [$RON]"/>
  </numFmts>
  <fonts count="6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B050"/>
      <name val="Arial1"/>
      <charset val="238"/>
    </font>
    <font>
      <sz val="16"/>
      <color rgb="FF000000"/>
      <name val="Calibri"/>
      <family val="2"/>
      <scheme val="minor"/>
    </font>
    <font>
      <sz val="14"/>
      <color rgb="FF000000"/>
      <name val="Arial1"/>
    </font>
    <font>
      <b/>
      <i/>
      <sz val="14"/>
      <color rgb="FFFF0000"/>
      <name val="Arial1"/>
      <charset val="238"/>
    </font>
    <font>
      <i/>
      <sz val="14"/>
      <color rgb="FFFF0000"/>
      <name val="Arial1"/>
    </font>
    <font>
      <b/>
      <i/>
      <sz val="14"/>
      <color rgb="FF006600"/>
      <name val="Arial1"/>
      <charset val="238"/>
    </font>
    <font>
      <b/>
      <sz val="16"/>
      <color rgb="FF00B050"/>
      <name val="Calibri"/>
      <family val="2"/>
      <charset val="238"/>
      <scheme val="minor"/>
    </font>
    <font>
      <b/>
      <i/>
      <sz val="10"/>
      <color rgb="FF000000"/>
      <name val="Arial1"/>
      <charset val="238"/>
    </font>
    <font>
      <b/>
      <i/>
      <sz val="10"/>
      <color rgb="FFFF0000"/>
      <name val="Arial1"/>
      <charset val="238"/>
    </font>
    <font>
      <i/>
      <sz val="14"/>
      <color rgb="FF000000"/>
      <name val="Arial1"/>
    </font>
    <font>
      <b/>
      <i/>
      <sz val="8"/>
      <color rgb="FF006600"/>
      <name val="Arial1"/>
      <charset val="238"/>
    </font>
    <font>
      <b/>
      <i/>
      <sz val="8"/>
      <color rgb="FF000000"/>
      <name val="Arial1"/>
      <charset val="238"/>
    </font>
    <font>
      <b/>
      <i/>
      <sz val="8"/>
      <color rgb="FF00B050"/>
      <name val="Arial1"/>
      <charset val="238"/>
    </font>
    <font>
      <b/>
      <sz val="12"/>
      <color rgb="FF000000"/>
      <name val="Arial1"/>
      <charset val="238"/>
    </font>
    <font>
      <sz val="14"/>
      <color theme="1"/>
      <name val="Calibri"/>
      <family val="2"/>
      <charset val="238"/>
      <scheme val="minor"/>
    </font>
    <font>
      <b/>
      <i/>
      <sz val="14"/>
      <color rgb="FF000000"/>
      <name val="Arial1"/>
    </font>
    <font>
      <b/>
      <i/>
      <sz val="14"/>
      <color rgb="FF00B050"/>
      <name val="Arial1"/>
      <charset val="238"/>
    </font>
    <font>
      <sz val="14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scheme val="minor"/>
    </font>
    <font>
      <sz val="14"/>
      <color rgb="FF000000"/>
      <name val="Arial1"/>
      <charset val="238"/>
    </font>
    <font>
      <sz val="16"/>
      <name val="Calibri"/>
      <family val="2"/>
      <scheme val="minor"/>
    </font>
    <font>
      <sz val="14"/>
      <color rgb="FF006600"/>
      <name val="Arial1"/>
      <charset val="238"/>
    </font>
    <font>
      <sz val="14"/>
      <color theme="1"/>
      <name val="Calibri"/>
      <family val="2"/>
      <scheme val="minor"/>
    </font>
    <font>
      <i/>
      <sz val="14"/>
      <color theme="1"/>
      <name val="Arial1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Arial1"/>
      <charset val="238"/>
    </font>
    <font>
      <sz val="14"/>
      <color theme="1"/>
      <name val="Arial1"/>
    </font>
    <font>
      <sz val="10"/>
      <color rgb="FF000000"/>
      <name val="Arial1"/>
    </font>
    <font>
      <b/>
      <sz val="14"/>
      <color rgb="FF006600"/>
      <name val="Arial1"/>
      <charset val="238"/>
    </font>
    <font>
      <b/>
      <sz val="14"/>
      <color rgb="FF00B050"/>
      <name val="Arial1"/>
    </font>
    <font>
      <b/>
      <sz val="14"/>
      <color rgb="FFFF0000"/>
      <name val="Arial1"/>
      <charset val="238"/>
    </font>
    <font>
      <i/>
      <sz val="10"/>
      <color theme="1"/>
      <name val="Arial1"/>
      <charset val="238"/>
    </font>
    <font>
      <b/>
      <i/>
      <sz val="9"/>
      <color rgb="FFFF0000"/>
      <name val="Arial1"/>
      <charset val="238"/>
    </font>
    <font>
      <i/>
      <sz val="16"/>
      <color theme="1"/>
      <name val="Arial1"/>
      <charset val="238"/>
    </font>
    <font>
      <sz val="12"/>
      <color theme="1"/>
      <name val="Calibri"/>
      <family val="2"/>
      <charset val="238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i/>
      <sz val="14"/>
      <color rgb="FFFF0000"/>
      <name val="Arial1"/>
      <charset val="238"/>
    </font>
    <font>
      <sz val="16"/>
      <color rgb="FFFF0000"/>
      <name val="Calibri"/>
      <family val="2"/>
      <charset val="238"/>
      <scheme val="minor"/>
    </font>
    <font>
      <b/>
      <i/>
      <sz val="14"/>
      <color rgb="FF000000"/>
      <name val="Arial1"/>
      <charset val="238"/>
    </font>
    <font>
      <b/>
      <i/>
      <sz val="10"/>
      <color rgb="FF00B050"/>
      <name val="Arial1"/>
      <charset val="238"/>
    </font>
    <font>
      <sz val="11"/>
      <color rgb="FF000000"/>
      <name val="Arial1"/>
    </font>
    <font>
      <sz val="14"/>
      <color rgb="FF00B050"/>
      <name val="Calibri"/>
      <family val="2"/>
      <charset val="238"/>
      <scheme val="minor"/>
    </font>
    <font>
      <b/>
      <i/>
      <sz val="16"/>
      <color rgb="FF000000"/>
      <name val="Arial1"/>
    </font>
    <font>
      <sz val="14"/>
      <color rgb="FFFF0000"/>
      <name val="Arial1"/>
      <charset val="238"/>
    </font>
    <font>
      <sz val="12"/>
      <color rgb="FF000000"/>
      <name val="Arial1"/>
    </font>
    <font>
      <i/>
      <sz val="16"/>
      <color rgb="FF000000"/>
      <name val="Arial1"/>
    </font>
    <font>
      <i/>
      <sz val="24"/>
      <color rgb="FF000000"/>
      <name val="Arial1"/>
    </font>
    <font>
      <sz val="11"/>
      <color theme="1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b/>
      <sz val="14"/>
      <name val="Arial1"/>
      <charset val="238"/>
    </font>
    <font>
      <b/>
      <sz val="1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7" fillId="0" borderId="0" applyFont="0" applyFill="0" applyBorder="0" applyAlignment="0" applyProtection="0"/>
  </cellStyleXfs>
  <cellXfs count="607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shrinkToFit="1"/>
    </xf>
    <xf numFmtId="2" fontId="5" fillId="0" borderId="0" xfId="0" applyNumberFormat="1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10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right" vertical="center" shrinkToFit="1"/>
    </xf>
    <xf numFmtId="2" fontId="9" fillId="2" borderId="0" xfId="0" applyNumberFormat="1" applyFont="1" applyFill="1" applyAlignment="1">
      <alignment horizontal="center" vertical="center" shrinkToFit="1"/>
    </xf>
    <xf numFmtId="2" fontId="10" fillId="2" borderId="0" xfId="0" applyNumberFormat="1" applyFont="1" applyFill="1" applyAlignment="1">
      <alignment horizontal="right" vertical="center" shrinkToFit="1"/>
    </xf>
    <xf numFmtId="10" fontId="7" fillId="0" borderId="0" xfId="0" applyNumberFormat="1" applyFont="1" applyAlignment="1">
      <alignment vertical="center"/>
    </xf>
    <xf numFmtId="2" fontId="11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right" vertical="center" shrinkToFit="1"/>
    </xf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19" fillId="0" borderId="0" xfId="0" applyNumberFormat="1" applyFont="1"/>
    <xf numFmtId="0" fontId="19" fillId="0" borderId="0" xfId="0" applyFont="1"/>
    <xf numFmtId="0" fontId="3" fillId="0" borderId="0" xfId="0" applyFont="1" applyAlignment="1">
      <alignment shrinkToFit="1"/>
    </xf>
    <xf numFmtId="164" fontId="19" fillId="0" borderId="0" xfId="0" applyNumberFormat="1" applyFont="1"/>
    <xf numFmtId="10" fontId="20" fillId="0" borderId="0" xfId="0" applyNumberFormat="1" applyFont="1" applyAlignment="1">
      <alignment vertical="center" shrinkToFi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167" fontId="20" fillId="0" borderId="0" xfId="0" applyNumberFormat="1" applyFont="1" applyAlignment="1">
      <alignment vertical="center" shrinkToFit="1"/>
    </xf>
    <xf numFmtId="2" fontId="4" fillId="0" borderId="0" xfId="0" applyNumberFormat="1" applyFont="1"/>
    <xf numFmtId="2" fontId="24" fillId="0" borderId="0" xfId="0" applyNumberFormat="1" applyFont="1"/>
    <xf numFmtId="168" fontId="2" fillId="0" borderId="0" xfId="0" applyNumberFormat="1" applyFont="1"/>
    <xf numFmtId="0" fontId="19" fillId="0" borderId="0" xfId="0" applyFont="1" applyAlignment="1">
      <alignment horizontal="right"/>
    </xf>
    <xf numFmtId="2" fontId="25" fillId="0" borderId="0" xfId="0" applyNumberFormat="1" applyFont="1"/>
    <xf numFmtId="16" fontId="0" fillId="0" borderId="0" xfId="0" applyNumberFormat="1" applyAlignment="1">
      <alignment horizontal="center"/>
    </xf>
    <xf numFmtId="2" fontId="26" fillId="0" borderId="0" xfId="0" applyNumberFormat="1" applyFont="1" applyAlignment="1">
      <alignment vertical="center"/>
    </xf>
    <xf numFmtId="169" fontId="27" fillId="3" borderId="0" xfId="0" applyNumberFormat="1" applyFont="1" applyFill="1" applyAlignment="1">
      <alignment vertical="center"/>
    </xf>
    <xf numFmtId="10" fontId="14" fillId="0" borderId="0" xfId="0" applyNumberFormat="1" applyFont="1" applyAlignment="1">
      <alignment vertical="center"/>
    </xf>
    <xf numFmtId="2" fontId="28" fillId="0" borderId="0" xfId="0" applyNumberFormat="1" applyFont="1" applyAlignment="1">
      <alignment horizontal="right" vertical="center"/>
    </xf>
    <xf numFmtId="2" fontId="29" fillId="0" borderId="0" xfId="0" applyNumberFormat="1" applyFont="1" applyAlignment="1">
      <alignment horizontal="right"/>
    </xf>
    <xf numFmtId="2" fontId="30" fillId="0" borderId="0" xfId="0" applyNumberFormat="1" applyFont="1" applyAlignment="1">
      <alignment horizontal="right" vertical="center" shrinkToFit="1"/>
    </xf>
    <xf numFmtId="10" fontId="0" fillId="0" borderId="0" xfId="0" applyNumberFormat="1"/>
    <xf numFmtId="169" fontId="27" fillId="0" borderId="0" xfId="0" applyNumberFormat="1" applyFont="1" applyAlignment="1">
      <alignment vertical="center" shrinkToFit="1"/>
    </xf>
    <xf numFmtId="10" fontId="3" fillId="0" borderId="0" xfId="0" applyNumberFormat="1" applyFont="1"/>
    <xf numFmtId="0" fontId="24" fillId="0" borderId="0" xfId="0" applyFont="1"/>
    <xf numFmtId="169" fontId="3" fillId="0" borderId="0" xfId="0" applyNumberFormat="1" applyFont="1"/>
    <xf numFmtId="10" fontId="9" fillId="2" borderId="0" xfId="0" applyNumberFormat="1" applyFont="1" applyFill="1" applyAlignment="1">
      <alignment horizontal="center" vertical="center" shrinkToFit="1"/>
    </xf>
    <xf numFmtId="2" fontId="31" fillId="0" borderId="0" xfId="0" applyNumberFormat="1" applyFont="1"/>
    <xf numFmtId="2" fontId="32" fillId="0" borderId="0" xfId="0" applyNumberFormat="1" applyFont="1" applyAlignment="1">
      <alignment horizontal="right"/>
    </xf>
    <xf numFmtId="10" fontId="31" fillId="0" borderId="0" xfId="0" applyNumberFormat="1" applyFont="1"/>
    <xf numFmtId="169" fontId="27" fillId="0" borderId="0" xfId="0" applyNumberFormat="1" applyFont="1"/>
    <xf numFmtId="168" fontId="33" fillId="0" borderId="0" xfId="0" applyNumberFormat="1" applyFont="1" applyAlignment="1">
      <alignment vertical="center"/>
    </xf>
    <xf numFmtId="2" fontId="14" fillId="0" borderId="0" xfId="0" applyNumberFormat="1" applyFont="1" applyAlignment="1">
      <alignment horizontal="right" vertical="center" shrinkToFit="1"/>
    </xf>
    <xf numFmtId="0" fontId="14" fillId="0" borderId="0" xfId="0" applyFont="1" applyAlignment="1">
      <alignment vertical="center"/>
    </xf>
    <xf numFmtId="2" fontId="14" fillId="0" borderId="0" xfId="0" applyNumberFormat="1" applyFont="1" applyAlignment="1">
      <alignment horizontal="right" vertical="center"/>
    </xf>
    <xf numFmtId="2" fontId="30" fillId="0" borderId="0" xfId="0" applyNumberFormat="1" applyFont="1" applyAlignment="1">
      <alignment horizontal="right" vertical="center"/>
    </xf>
    <xf numFmtId="2" fontId="26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34" fillId="0" borderId="0" xfId="0" applyNumberFormat="1" applyFont="1" applyAlignment="1">
      <alignment horizontal="right" vertical="center"/>
    </xf>
    <xf numFmtId="10" fontId="19" fillId="0" borderId="0" xfId="0" applyNumberFormat="1" applyFont="1"/>
    <xf numFmtId="2" fontId="35" fillId="4" borderId="0" xfId="0" applyNumberFormat="1" applyFont="1" applyFill="1" applyAlignment="1">
      <alignment horizontal="right" vertical="center"/>
    </xf>
    <xf numFmtId="0" fontId="36" fillId="0" borderId="0" xfId="0" applyFont="1" applyAlignment="1">
      <alignment vertical="center"/>
    </xf>
    <xf numFmtId="10" fontId="2" fillId="0" borderId="0" xfId="0" applyNumberFormat="1" applyFont="1"/>
    <xf numFmtId="2" fontId="35" fillId="0" borderId="0" xfId="0" applyNumberFormat="1" applyFont="1" applyAlignment="1">
      <alignment horizontal="right" vertical="center"/>
    </xf>
    <xf numFmtId="169" fontId="27" fillId="0" borderId="0" xfId="0" applyNumberFormat="1" applyFont="1" applyAlignment="1">
      <alignment horizontal="right"/>
    </xf>
    <xf numFmtId="2" fontId="37" fillId="0" borderId="0" xfId="0" applyNumberFormat="1" applyFont="1" applyAlignment="1">
      <alignment vertical="center"/>
    </xf>
    <xf numFmtId="2" fontId="38" fillId="4" borderId="0" xfId="0" applyNumberFormat="1" applyFont="1" applyFill="1" applyAlignment="1">
      <alignment vertical="center"/>
    </xf>
    <xf numFmtId="2" fontId="39" fillId="4" borderId="0" xfId="0" applyNumberFormat="1" applyFont="1" applyFill="1" applyAlignment="1">
      <alignment vertical="center"/>
    </xf>
    <xf numFmtId="170" fontId="9" fillId="2" borderId="0" xfId="0" applyNumberFormat="1" applyFont="1" applyFill="1" applyAlignment="1">
      <alignment horizontal="center" vertical="center" shrinkToFit="1"/>
    </xf>
    <xf numFmtId="2" fontId="34" fillId="4" borderId="0" xfId="0" applyNumberFormat="1" applyFont="1" applyFill="1" applyAlignment="1">
      <alignment horizontal="right" vertical="center"/>
    </xf>
    <xf numFmtId="0" fontId="40" fillId="0" borderId="0" xfId="0" applyFont="1" applyAlignment="1">
      <alignment horizontal="right" vertical="center" shrinkToFit="1"/>
    </xf>
    <xf numFmtId="10" fontId="19" fillId="0" borderId="0" xfId="0" applyNumberFormat="1" applyFont="1" applyAlignment="1">
      <alignment horizontal="right"/>
    </xf>
    <xf numFmtId="10" fontId="19" fillId="0" borderId="0" xfId="0" applyNumberFormat="1" applyFont="1" applyAlignment="1">
      <alignment horizontal="center"/>
    </xf>
    <xf numFmtId="2" fontId="37" fillId="0" borderId="0" xfId="0" applyNumberFormat="1" applyFont="1" applyAlignment="1">
      <alignment vertical="center" shrinkToFit="1"/>
    </xf>
    <xf numFmtId="2" fontId="7" fillId="0" borderId="0" xfId="0" applyNumberFormat="1" applyFont="1" applyAlignment="1">
      <alignment vertical="center" shrinkToFit="1"/>
    </xf>
    <xf numFmtId="2" fontId="38" fillId="0" borderId="0" xfId="0" applyNumberFormat="1" applyFont="1" applyAlignment="1">
      <alignment vertical="center" shrinkToFit="1"/>
    </xf>
    <xf numFmtId="2" fontId="7" fillId="0" borderId="0" xfId="0" applyNumberFormat="1" applyFont="1" applyAlignment="1">
      <alignment horizontal="center" vertical="center" shrinkToFit="1"/>
    </xf>
    <xf numFmtId="0" fontId="4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2" fontId="19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2" fontId="23" fillId="0" borderId="0" xfId="0" applyNumberFormat="1" applyFont="1"/>
    <xf numFmtId="2" fontId="0" fillId="0" borderId="0" xfId="0" applyNumberFormat="1"/>
    <xf numFmtId="16" fontId="19" fillId="0" borderId="0" xfId="0" applyNumberFormat="1" applyFont="1" applyAlignment="1">
      <alignment horizontal="center"/>
    </xf>
    <xf numFmtId="164" fontId="43" fillId="0" borderId="0" xfId="0" applyNumberFormat="1" applyFont="1"/>
    <xf numFmtId="0" fontId="19" fillId="0" borderId="0" xfId="0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71" fontId="19" fillId="0" borderId="0" xfId="0" applyNumberFormat="1" applyFont="1"/>
    <xf numFmtId="14" fontId="19" fillId="0" borderId="0" xfId="0" applyNumberFormat="1" applyFont="1" applyAlignment="1">
      <alignment horizontal="center"/>
    </xf>
    <xf numFmtId="10" fontId="44" fillId="0" borderId="0" xfId="0" applyNumberFormat="1" applyFont="1" applyAlignment="1">
      <alignment horizontal="center"/>
    </xf>
    <xf numFmtId="10" fontId="45" fillId="0" borderId="0" xfId="0" applyNumberFormat="1" applyFont="1"/>
    <xf numFmtId="2" fontId="45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 vertical="center" shrinkToFit="1"/>
    </xf>
    <xf numFmtId="10" fontId="14" fillId="0" borderId="0" xfId="0" applyNumberFormat="1" applyFont="1" applyAlignment="1">
      <alignment horizontal="right" vertical="center"/>
    </xf>
    <xf numFmtId="2" fontId="46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2" fontId="7" fillId="3" borderId="0" xfId="0" applyNumberFormat="1" applyFont="1" applyFill="1" applyAlignment="1">
      <alignment vertical="center"/>
    </xf>
    <xf numFmtId="172" fontId="25" fillId="0" borderId="0" xfId="0" applyNumberFormat="1" applyFont="1" applyAlignment="1">
      <alignment vertical="center"/>
    </xf>
    <xf numFmtId="173" fontId="31" fillId="0" borderId="0" xfId="0" applyNumberFormat="1" applyFont="1"/>
    <xf numFmtId="2" fontId="14" fillId="0" borderId="0" xfId="0" applyNumberFormat="1" applyFont="1" applyAlignment="1">
      <alignment vertical="center"/>
    </xf>
    <xf numFmtId="2" fontId="47" fillId="0" borderId="1" xfId="0" applyNumberFormat="1" applyFont="1" applyBorder="1"/>
    <xf numFmtId="0" fontId="19" fillId="0" borderId="2" xfId="0" applyFont="1" applyBorder="1"/>
    <xf numFmtId="2" fontId="5" fillId="3" borderId="3" xfId="0" applyNumberFormat="1" applyFont="1" applyFill="1" applyBorder="1" applyAlignment="1">
      <alignment vertical="center"/>
    </xf>
    <xf numFmtId="2" fontId="14" fillId="0" borderId="3" xfId="0" applyNumberFormat="1" applyFont="1" applyBorder="1" applyAlignment="1">
      <alignment vertical="center"/>
    </xf>
    <xf numFmtId="10" fontId="7" fillId="0" borderId="3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vertical="center"/>
    </xf>
    <xf numFmtId="2" fontId="26" fillId="0" borderId="3" xfId="0" applyNumberFormat="1" applyFont="1" applyBorder="1" applyAlignment="1">
      <alignment horizontal="center" vertical="center"/>
    </xf>
    <xf numFmtId="2" fontId="47" fillId="0" borderId="3" xfId="0" applyNumberFormat="1" applyFont="1" applyBorder="1"/>
    <xf numFmtId="0" fontId="7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2" fontId="37" fillId="3" borderId="5" xfId="0" applyNumberFormat="1" applyFont="1" applyFill="1" applyBorder="1" applyAlignment="1">
      <alignment vertical="center"/>
    </xf>
    <xf numFmtId="2" fontId="5" fillId="3" borderId="6" xfId="0" applyNumberFormat="1" applyFont="1" applyFill="1" applyBorder="1" applyAlignment="1">
      <alignment vertical="center"/>
    </xf>
    <xf numFmtId="2" fontId="39" fillId="3" borderId="6" xfId="0" applyNumberFormat="1" applyFont="1" applyFill="1" applyBorder="1" applyAlignment="1">
      <alignment vertical="center"/>
    </xf>
    <xf numFmtId="10" fontId="7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2" fontId="5" fillId="0" borderId="6" xfId="0" applyNumberFormat="1" applyFont="1" applyBorder="1" applyAlignment="1">
      <alignment vertical="center"/>
    </xf>
    <xf numFmtId="10" fontId="7" fillId="0" borderId="6" xfId="0" applyNumberFormat="1" applyFont="1" applyBorder="1" applyAlignment="1">
      <alignment horizontal="center" vertical="center"/>
    </xf>
    <xf numFmtId="2" fontId="47" fillId="0" borderId="6" xfId="0" applyNumberFormat="1" applyFont="1" applyBorder="1"/>
    <xf numFmtId="10" fontId="3" fillId="0" borderId="6" xfId="0" applyNumberFormat="1" applyFont="1" applyBorder="1"/>
    <xf numFmtId="0" fontId="3" fillId="0" borderId="6" xfId="0" applyFont="1" applyBorder="1"/>
    <xf numFmtId="0" fontId="14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2" fontId="10" fillId="2" borderId="5" xfId="0" applyNumberFormat="1" applyFont="1" applyFill="1" applyBorder="1" applyAlignment="1">
      <alignment horizontal="right" vertical="center" shrinkToFit="1"/>
    </xf>
    <xf numFmtId="2" fontId="8" fillId="2" borderId="6" xfId="0" applyNumberFormat="1" applyFont="1" applyFill="1" applyBorder="1" applyAlignment="1">
      <alignment horizontal="right" vertical="center" shrinkToFit="1"/>
    </xf>
    <xf numFmtId="170" fontId="9" fillId="2" borderId="6" xfId="0" applyNumberFormat="1" applyFont="1" applyFill="1" applyBorder="1" applyAlignment="1">
      <alignment horizontal="center" vertical="center" shrinkToFit="1"/>
    </xf>
    <xf numFmtId="0" fontId="3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3" fillId="0" borderId="6" xfId="0" applyFont="1" applyBorder="1" applyAlignment="1">
      <alignment shrinkToFit="1"/>
    </xf>
    <xf numFmtId="2" fontId="10" fillId="2" borderId="8" xfId="0" applyNumberFormat="1" applyFont="1" applyFill="1" applyBorder="1" applyAlignment="1">
      <alignment horizontal="right" vertical="center" shrinkToFit="1"/>
    </xf>
    <xf numFmtId="2" fontId="5" fillId="0" borderId="9" xfId="0" applyNumberFormat="1" applyFont="1" applyBorder="1" applyAlignment="1">
      <alignment vertical="center"/>
    </xf>
    <xf numFmtId="2" fontId="8" fillId="2" borderId="9" xfId="0" applyNumberFormat="1" applyFont="1" applyFill="1" applyBorder="1" applyAlignment="1">
      <alignment horizontal="right" vertical="center" shrinkToFit="1"/>
    </xf>
    <xf numFmtId="10" fontId="7" fillId="0" borderId="9" xfId="0" applyNumberFormat="1" applyFont="1" applyBorder="1" applyAlignment="1">
      <alignment vertical="center"/>
    </xf>
    <xf numFmtId="2" fontId="5" fillId="4" borderId="9" xfId="0" applyNumberFormat="1" applyFont="1" applyFill="1" applyBorder="1" applyAlignment="1">
      <alignment vertical="center"/>
    </xf>
    <xf numFmtId="10" fontId="7" fillId="0" borderId="9" xfId="0" applyNumberFormat="1" applyFont="1" applyBorder="1" applyAlignment="1">
      <alignment horizontal="center" vertical="center"/>
    </xf>
    <xf numFmtId="2" fontId="47" fillId="0" borderId="9" xfId="0" applyNumberFormat="1" applyFont="1" applyBorder="1"/>
    <xf numFmtId="10" fontId="3" fillId="0" borderId="9" xfId="0" applyNumberFormat="1" applyFont="1" applyBorder="1"/>
    <xf numFmtId="0" fontId="3" fillId="0" borderId="9" xfId="0" applyFont="1" applyBorder="1" applyAlignment="1">
      <alignment shrinkToFit="1"/>
    </xf>
    <xf numFmtId="170" fontId="9" fillId="2" borderId="9" xfId="0" applyNumberFormat="1" applyFont="1" applyFill="1" applyBorder="1" applyAlignment="1">
      <alignment horizontal="center" vertical="center" shrinkToFit="1"/>
    </xf>
    <xf numFmtId="0" fontId="36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2" fontId="37" fillId="0" borderId="5" xfId="0" applyNumberFormat="1" applyFont="1" applyBorder="1" applyAlignment="1">
      <alignment vertical="center" shrinkToFit="1"/>
    </xf>
    <xf numFmtId="2" fontId="37" fillId="0" borderId="6" xfId="0" applyNumberFormat="1" applyFont="1" applyBorder="1" applyAlignment="1">
      <alignment vertical="center" shrinkToFit="1"/>
    </xf>
    <xf numFmtId="2" fontId="39" fillId="0" borderId="6" xfId="0" applyNumberFormat="1" applyFont="1" applyBorder="1" applyAlignment="1">
      <alignment vertical="center" shrinkToFit="1"/>
    </xf>
    <xf numFmtId="2" fontId="7" fillId="0" borderId="6" xfId="0" applyNumberFormat="1" applyFont="1" applyBorder="1" applyAlignment="1">
      <alignment vertical="center" shrinkToFit="1"/>
    </xf>
    <xf numFmtId="2" fontId="38" fillId="0" borderId="6" xfId="0" applyNumberFormat="1" applyFont="1" applyBorder="1" applyAlignment="1">
      <alignment vertical="center" shrinkToFit="1"/>
    </xf>
    <xf numFmtId="2" fontId="7" fillId="0" borderId="6" xfId="0" applyNumberFormat="1" applyFont="1" applyBorder="1" applyAlignment="1">
      <alignment horizontal="center" vertical="center" shrinkToFit="1"/>
    </xf>
    <xf numFmtId="2" fontId="5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horizontal="center" vertical="center" wrapText="1"/>
    </xf>
    <xf numFmtId="174" fontId="50" fillId="0" borderId="6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vertical="center" shrinkToFit="1"/>
    </xf>
    <xf numFmtId="0" fontId="9" fillId="0" borderId="6" xfId="0" applyFont="1" applyBorder="1" applyAlignment="1">
      <alignment horizontal="center" vertical="center" shrinkToFit="1"/>
    </xf>
    <xf numFmtId="0" fontId="0" fillId="0" borderId="7" xfId="0" applyBorder="1"/>
    <xf numFmtId="2" fontId="10" fillId="2" borderId="6" xfId="0" applyNumberFormat="1" applyFont="1" applyFill="1" applyBorder="1" applyAlignment="1">
      <alignment horizontal="right" vertical="center" shrinkToFit="1"/>
    </xf>
    <xf numFmtId="2" fontId="11" fillId="0" borderId="6" xfId="0" applyNumberFormat="1" applyFont="1" applyBorder="1"/>
    <xf numFmtId="2" fontId="51" fillId="0" borderId="6" xfId="0" applyNumberFormat="1" applyFont="1" applyBorder="1"/>
    <xf numFmtId="2" fontId="9" fillId="2" borderId="6" xfId="0" applyNumberFormat="1" applyFont="1" applyFill="1" applyBorder="1" applyAlignment="1">
      <alignment horizontal="center" vertical="center" shrinkToFit="1"/>
    </xf>
    <xf numFmtId="165" fontId="0" fillId="0" borderId="6" xfId="0" applyNumberForma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shrinkToFit="1"/>
    </xf>
    <xf numFmtId="0" fontId="21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49" fontId="52" fillId="0" borderId="9" xfId="0" applyNumberFormat="1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2" fontId="53" fillId="0" borderId="0" xfId="0" applyNumberFormat="1" applyFont="1" applyAlignment="1">
      <alignment vertical="center"/>
    </xf>
    <xf numFmtId="174" fontId="50" fillId="0" borderId="0" xfId="0" applyNumberFormat="1" applyFont="1" applyAlignment="1">
      <alignment horizontal="center" vertical="center" shrinkToFit="1"/>
    </xf>
    <xf numFmtId="2" fontId="10" fillId="2" borderId="5" xfId="0" applyNumberFormat="1" applyFont="1" applyFill="1" applyBorder="1" applyAlignment="1">
      <alignment horizontal="left" vertical="center" shrinkToFit="1"/>
    </xf>
    <xf numFmtId="2" fontId="54" fillId="0" borderId="6" xfId="0" applyNumberFormat="1" applyFont="1" applyBorder="1" applyAlignment="1">
      <alignment vertical="center"/>
    </xf>
    <xf numFmtId="2" fontId="22" fillId="0" borderId="0" xfId="0" applyNumberFormat="1" applyFont="1"/>
    <xf numFmtId="2" fontId="22" fillId="0" borderId="0" xfId="0" applyNumberFormat="1" applyFont="1" applyAlignment="1">
      <alignment horizontal="center"/>
    </xf>
    <xf numFmtId="165" fontId="0" fillId="0" borderId="14" xfId="0" applyNumberFormat="1" applyBorder="1" applyAlignment="1">
      <alignment horizontal="center"/>
    </xf>
    <xf numFmtId="0" fontId="22" fillId="0" borderId="2" xfId="0" applyFont="1" applyBorder="1" applyAlignment="1">
      <alignment horizontal="center"/>
    </xf>
    <xf numFmtId="2" fontId="19" fillId="0" borderId="2" xfId="0" applyNumberFormat="1" applyFont="1" applyBorder="1"/>
    <xf numFmtId="0" fontId="19" fillId="0" borderId="15" xfId="0" applyFont="1" applyBorder="1"/>
    <xf numFmtId="0" fontId="19" fillId="0" borderId="3" xfId="0" applyFont="1" applyBorder="1"/>
    <xf numFmtId="0" fontId="19" fillId="0" borderId="4" xfId="0" applyFont="1" applyBorder="1"/>
    <xf numFmtId="10" fontId="19" fillId="0" borderId="2" xfId="0" applyNumberFormat="1" applyFont="1" applyBorder="1"/>
    <xf numFmtId="2" fontId="23" fillId="0" borderId="3" xfId="0" applyNumberFormat="1" applyFont="1" applyBorder="1"/>
    <xf numFmtId="2" fontId="19" fillId="0" borderId="5" xfId="0" applyNumberFormat="1" applyFont="1" applyBorder="1"/>
    <xf numFmtId="2" fontId="24" fillId="0" borderId="14" xfId="0" applyNumberFormat="1" applyFont="1" applyBorder="1"/>
    <xf numFmtId="2" fontId="24" fillId="0" borderId="6" xfId="0" applyNumberFormat="1" applyFont="1" applyBorder="1"/>
    <xf numFmtId="0" fontId="19" fillId="0" borderId="7" xfId="0" applyFont="1" applyBorder="1"/>
    <xf numFmtId="2" fontId="23" fillId="0" borderId="6" xfId="0" applyNumberFormat="1" applyFont="1" applyBorder="1"/>
    <xf numFmtId="2" fontId="19" fillId="0" borderId="14" xfId="0" applyNumberFormat="1" applyFont="1" applyBorder="1"/>
    <xf numFmtId="2" fontId="19" fillId="0" borderId="6" xfId="0" applyNumberFormat="1" applyFont="1" applyBorder="1"/>
    <xf numFmtId="10" fontId="19" fillId="0" borderId="5" xfId="0" applyNumberFormat="1" applyFont="1" applyBorder="1"/>
    <xf numFmtId="164" fontId="43" fillId="0" borderId="6" xfId="0" applyNumberFormat="1" applyFont="1" applyBorder="1"/>
    <xf numFmtId="2" fontId="19" fillId="0" borderId="16" xfId="0" applyNumberFormat="1" applyFont="1" applyBorder="1"/>
    <xf numFmtId="2" fontId="19" fillId="0" borderId="17" xfId="0" applyNumberFormat="1" applyFont="1" applyBorder="1"/>
    <xf numFmtId="2" fontId="19" fillId="0" borderId="1" xfId="0" applyNumberFormat="1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17" xfId="0" applyFont="1" applyBorder="1"/>
    <xf numFmtId="0" fontId="19" fillId="0" borderId="1" xfId="0" applyFont="1" applyBorder="1"/>
    <xf numFmtId="0" fontId="19" fillId="0" borderId="21" xfId="0" applyFont="1" applyBorder="1"/>
    <xf numFmtId="0" fontId="19" fillId="0" borderId="14" xfId="0" applyFont="1" applyBorder="1"/>
    <xf numFmtId="0" fontId="19" fillId="0" borderId="6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174" fontId="0" fillId="0" borderId="6" xfId="0" applyNumberFormat="1" applyBorder="1"/>
    <xf numFmtId="2" fontId="19" fillId="0" borderId="7" xfId="0" applyNumberFormat="1" applyFont="1" applyBorder="1" applyAlignment="1">
      <alignment horizontal="center"/>
    </xf>
    <xf numFmtId="2" fontId="19" fillId="0" borderId="25" xfId="0" applyNumberFormat="1" applyFont="1" applyBorder="1"/>
    <xf numFmtId="2" fontId="19" fillId="0" borderId="26" xfId="0" applyNumberFormat="1" applyFont="1" applyBorder="1"/>
    <xf numFmtId="2" fontId="19" fillId="0" borderId="27" xfId="0" applyNumberFormat="1" applyFont="1" applyBorder="1"/>
    <xf numFmtId="2" fontId="19" fillId="0" borderId="28" xfId="0" applyNumberFormat="1" applyFont="1" applyBorder="1"/>
    <xf numFmtId="2" fontId="19" fillId="0" borderId="29" xfId="0" applyNumberFormat="1" applyFont="1" applyBorder="1"/>
    <xf numFmtId="2" fontId="19" fillId="0" borderId="14" xfId="0" applyNumberFormat="1" applyFont="1" applyBorder="1" applyAlignment="1">
      <alignment horizontal="center"/>
    </xf>
    <xf numFmtId="0" fontId="0" fillId="0" borderId="6" xfId="0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30" xfId="0" applyFont="1" applyBorder="1"/>
    <xf numFmtId="175" fontId="19" fillId="0" borderId="14" xfId="0" applyNumberFormat="1" applyFont="1" applyBorder="1" applyAlignment="1">
      <alignment horizontal="center"/>
    </xf>
    <xf numFmtId="2" fontId="19" fillId="0" borderId="31" xfId="0" applyNumberFormat="1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2" fontId="19" fillId="0" borderId="33" xfId="0" applyNumberFormat="1" applyFont="1" applyBorder="1" applyAlignment="1">
      <alignment horizontal="right"/>
    </xf>
    <xf numFmtId="0" fontId="19" fillId="0" borderId="31" xfId="0" applyFont="1" applyBorder="1" applyAlignment="1">
      <alignment horizontal="right"/>
    </xf>
    <xf numFmtId="0" fontId="19" fillId="0" borderId="32" xfId="0" applyFont="1" applyBorder="1" applyAlignment="1">
      <alignment horizontal="right"/>
    </xf>
    <xf numFmtId="2" fontId="19" fillId="0" borderId="31" xfId="0" applyNumberFormat="1" applyFont="1" applyBorder="1" applyAlignment="1">
      <alignment horizontal="center" vertical="center"/>
    </xf>
    <xf numFmtId="2" fontId="19" fillId="0" borderId="32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19" fillId="0" borderId="34" xfId="0" applyFont="1" applyBorder="1" applyAlignment="1">
      <alignment horizontal="center"/>
    </xf>
    <xf numFmtId="2" fontId="19" fillId="0" borderId="26" xfId="0" applyNumberFormat="1" applyFont="1" applyBorder="1" applyAlignment="1">
      <alignment horizontal="right" vertical="center"/>
    </xf>
    <xf numFmtId="0" fontId="2" fillId="0" borderId="35" xfId="0" applyFont="1" applyBorder="1" applyAlignment="1">
      <alignment horizontal="center"/>
    </xf>
    <xf numFmtId="0" fontId="2" fillId="0" borderId="9" xfId="0" applyFont="1" applyBorder="1"/>
    <xf numFmtId="0" fontId="19" fillId="0" borderId="10" xfId="0" applyFont="1" applyBorder="1"/>
    <xf numFmtId="0" fontId="0" fillId="0" borderId="32" xfId="0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0" fontId="55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37" xfId="0" applyBorder="1"/>
    <xf numFmtId="0" fontId="3" fillId="0" borderId="7" xfId="0" applyFont="1" applyBorder="1"/>
    <xf numFmtId="10" fontId="2" fillId="0" borderId="28" xfId="0" applyNumberFormat="1" applyFont="1" applyBorder="1"/>
    <xf numFmtId="0" fontId="0" fillId="0" borderId="29" xfId="0" applyBorder="1"/>
    <xf numFmtId="0" fontId="3" fillId="0" borderId="7" xfId="0" applyFont="1" applyBorder="1" applyAlignment="1">
      <alignment shrinkToFit="1"/>
    </xf>
    <xf numFmtId="0" fontId="3" fillId="0" borderId="4" xfId="0" applyFont="1" applyBorder="1"/>
    <xf numFmtId="0" fontId="2" fillId="0" borderId="38" xfId="0" applyFont="1" applyBorder="1"/>
    <xf numFmtId="10" fontId="2" fillId="0" borderId="21" xfId="0" applyNumberFormat="1" applyFont="1" applyBorder="1"/>
    <xf numFmtId="10" fontId="56" fillId="0" borderId="3" xfId="0" applyNumberFormat="1" applyFont="1" applyBorder="1" applyAlignment="1">
      <alignment horizontal="right" vertical="center"/>
    </xf>
    <xf numFmtId="0" fontId="19" fillId="0" borderId="20" xfId="0" applyFont="1" applyBorder="1" applyAlignment="1">
      <alignment horizontal="center"/>
    </xf>
    <xf numFmtId="0" fontId="19" fillId="0" borderId="38" xfId="0" applyFont="1" applyBorder="1"/>
    <xf numFmtId="176" fontId="47" fillId="0" borderId="9" xfId="0" applyNumberFormat="1" applyFont="1" applyBorder="1"/>
    <xf numFmtId="177" fontId="19" fillId="0" borderId="5" xfId="0" applyNumberFormat="1" applyFont="1" applyBorder="1"/>
    <xf numFmtId="0" fontId="19" fillId="0" borderId="0" xfId="0" applyFont="1" applyBorder="1"/>
    <xf numFmtId="2" fontId="19" fillId="0" borderId="0" xfId="0" applyNumberFormat="1" applyFont="1" applyBorder="1"/>
    <xf numFmtId="2" fontId="47" fillId="0" borderId="27" xfId="0" applyNumberFormat="1" applyFont="1" applyBorder="1"/>
    <xf numFmtId="0" fontId="2" fillId="5" borderId="32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/>
    </xf>
    <xf numFmtId="0" fontId="19" fillId="5" borderId="0" xfId="0" applyFont="1" applyFill="1"/>
    <xf numFmtId="2" fontId="19" fillId="5" borderId="0" xfId="0" applyNumberFormat="1" applyFont="1" applyFill="1"/>
    <xf numFmtId="0" fontId="19" fillId="5" borderId="38" xfId="0" applyFont="1" applyFill="1" applyBorder="1"/>
    <xf numFmtId="2" fontId="19" fillId="5" borderId="0" xfId="0" applyNumberFormat="1" applyFont="1" applyFill="1" applyAlignment="1">
      <alignment horizontal="center"/>
    </xf>
    <xf numFmtId="2" fontId="22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20" fillId="5" borderId="9" xfId="0" applyFont="1" applyFill="1" applyBorder="1" applyAlignment="1">
      <alignment horizontal="center" vertical="center" shrinkToFit="1"/>
    </xf>
    <xf numFmtId="2" fontId="9" fillId="5" borderId="6" xfId="0" applyNumberFormat="1" applyFont="1" applyFill="1" applyBorder="1" applyAlignment="1">
      <alignment horizontal="center" vertical="center" shrinkToFit="1"/>
    </xf>
    <xf numFmtId="0" fontId="41" fillId="5" borderId="6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shrinkToFit="1"/>
    </xf>
    <xf numFmtId="176" fontId="47" fillId="5" borderId="9" xfId="0" applyNumberFormat="1" applyFont="1" applyFill="1" applyBorder="1"/>
    <xf numFmtId="167" fontId="20" fillId="5" borderId="0" xfId="0" applyNumberFormat="1" applyFont="1" applyFill="1" applyAlignment="1">
      <alignment vertical="center" shrinkToFit="1"/>
    </xf>
    <xf numFmtId="10" fontId="31" fillId="5" borderId="0" xfId="0" applyNumberFormat="1" applyFont="1" applyFill="1"/>
    <xf numFmtId="2" fontId="25" fillId="5" borderId="0" xfId="0" applyNumberFormat="1" applyFont="1" applyFill="1"/>
    <xf numFmtId="10" fontId="20" fillId="5" borderId="0" xfId="0" applyNumberFormat="1" applyFont="1" applyFill="1" applyAlignment="1">
      <alignment vertical="center" shrinkToFit="1"/>
    </xf>
    <xf numFmtId="2" fontId="7" fillId="6" borderId="0" xfId="0" applyNumberFormat="1" applyFont="1" applyFill="1" applyAlignment="1">
      <alignment vertical="center"/>
    </xf>
    <xf numFmtId="2" fontId="46" fillId="5" borderId="0" xfId="0" applyNumberFormat="1" applyFont="1" applyFill="1" applyAlignment="1">
      <alignment vertical="center"/>
    </xf>
    <xf numFmtId="10" fontId="45" fillId="5" borderId="0" xfId="0" applyNumberFormat="1" applyFont="1" applyFill="1"/>
    <xf numFmtId="2" fontId="2" fillId="5" borderId="0" xfId="0" applyNumberFormat="1" applyFont="1" applyFill="1"/>
    <xf numFmtId="0" fontId="2" fillId="5" borderId="0" xfId="0" applyFont="1" applyFill="1"/>
    <xf numFmtId="16" fontId="19" fillId="5" borderId="0" xfId="0" applyNumberFormat="1" applyFont="1" applyFill="1" applyAlignment="1">
      <alignment horizontal="center"/>
    </xf>
    <xf numFmtId="0" fontId="0" fillId="5" borderId="0" xfId="0" applyFill="1"/>
    <xf numFmtId="0" fontId="19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 shrinkToFit="1"/>
    </xf>
    <xf numFmtId="2" fontId="9" fillId="5" borderId="0" xfId="0" applyNumberFormat="1" applyFont="1" applyFill="1" applyAlignment="1">
      <alignment horizontal="center" vertical="center" shrinkToFit="1"/>
    </xf>
    <xf numFmtId="0" fontId="41" fillId="5" borderId="0" xfId="0" applyFont="1" applyFill="1" applyAlignment="1">
      <alignment horizontal="center" vertical="center" wrapText="1"/>
    </xf>
    <xf numFmtId="169" fontId="27" fillId="5" borderId="0" xfId="0" applyNumberFormat="1" applyFont="1" applyFill="1" applyAlignment="1">
      <alignment horizontal="right"/>
    </xf>
    <xf numFmtId="169" fontId="27" fillId="5" borderId="0" xfId="0" applyNumberFormat="1" applyFont="1" applyFill="1"/>
    <xf numFmtId="169" fontId="27" fillId="5" borderId="0" xfId="0" applyNumberFormat="1" applyFont="1" applyFill="1" applyAlignment="1">
      <alignment vertical="center" shrinkToFit="1"/>
    </xf>
    <xf numFmtId="169" fontId="3" fillId="5" borderId="0" xfId="0" applyNumberFormat="1" applyFont="1" applyFill="1"/>
    <xf numFmtId="169" fontId="27" fillId="6" borderId="0" xfId="0" applyNumberFormat="1" applyFont="1" applyFill="1" applyAlignment="1">
      <alignment vertical="center"/>
    </xf>
    <xf numFmtId="0" fontId="7" fillId="5" borderId="0" xfId="0" applyFont="1" applyFill="1" applyAlignment="1">
      <alignment horizontal="right" vertical="center"/>
    </xf>
    <xf numFmtId="14" fontId="18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vertical="center"/>
    </xf>
    <xf numFmtId="177" fontId="58" fillId="0" borderId="9" xfId="0" applyNumberFormat="1" applyFont="1" applyBorder="1"/>
    <xf numFmtId="177" fontId="19" fillId="0" borderId="0" xfId="0" applyNumberFormat="1" applyFont="1" applyAlignment="1">
      <alignment horizontal="center"/>
    </xf>
    <xf numFmtId="177" fontId="5" fillId="0" borderId="6" xfId="0" applyNumberFormat="1" applyFont="1" applyBorder="1" applyAlignment="1">
      <alignment horizontal="right" vertical="center"/>
    </xf>
    <xf numFmtId="177" fontId="59" fillId="0" borderId="6" xfId="0" applyNumberFormat="1" applyFont="1" applyBorder="1" applyAlignment="1">
      <alignment horizontal="right" vertical="center"/>
    </xf>
    <xf numFmtId="10" fontId="58" fillId="0" borderId="9" xfId="1" applyNumberFormat="1" applyFont="1" applyBorder="1"/>
    <xf numFmtId="164" fontId="5" fillId="4" borderId="9" xfId="0" applyNumberFormat="1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 wrapText="1" shrinkToFit="1"/>
    </xf>
    <xf numFmtId="0" fontId="48" fillId="0" borderId="12" xfId="0" applyFont="1" applyBorder="1" applyAlignment="1">
      <alignment horizontal="center" vertical="center" shrinkToFit="1"/>
    </xf>
    <xf numFmtId="177" fontId="60" fillId="0" borderId="9" xfId="0" applyNumberFormat="1" applyFont="1" applyBorder="1"/>
    <xf numFmtId="176" fontId="47" fillId="0" borderId="27" xfId="0" applyNumberFormat="1" applyFont="1" applyBorder="1"/>
    <xf numFmtId="179" fontId="0" fillId="0" borderId="0" xfId="0" applyNumberFormat="1"/>
    <xf numFmtId="177" fontId="19" fillId="0" borderId="0" xfId="0" applyNumberFormat="1" applyFont="1"/>
    <xf numFmtId="178" fontId="19" fillId="0" borderId="0" xfId="1" applyNumberFormat="1" applyFont="1"/>
    <xf numFmtId="0" fontId="31" fillId="0" borderId="0" xfId="0" applyFont="1"/>
    <xf numFmtId="0" fontId="2" fillId="0" borderId="0" xfId="0" applyFont="1"/>
    <xf numFmtId="177" fontId="0" fillId="0" borderId="0" xfId="0" applyNumberFormat="1"/>
    <xf numFmtId="2" fontId="2" fillId="0" borderId="32" xfId="0" applyNumberFormat="1" applyFont="1" applyBorder="1" applyAlignment="1">
      <alignment horizontal="right"/>
    </xf>
    <xf numFmtId="0" fontId="2" fillId="0" borderId="20" xfId="0" applyFont="1" applyBorder="1"/>
    <xf numFmtId="2" fontId="47" fillId="0" borderId="0" xfId="0" applyNumberFormat="1" applyFont="1"/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2" fillId="0" borderId="3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/>
    <xf numFmtId="0" fontId="0" fillId="0" borderId="0" xfId="0"/>
    <xf numFmtId="0" fontId="21" fillId="0" borderId="39" xfId="0" applyFont="1" applyBorder="1" applyAlignment="1">
      <alignment horizontal="center" vertical="center" wrapText="1"/>
    </xf>
    <xf numFmtId="2" fontId="10" fillId="2" borderId="40" xfId="0" applyNumberFormat="1" applyFont="1" applyFill="1" applyBorder="1" applyAlignment="1">
      <alignment horizontal="right" vertical="center" shrinkToFit="1"/>
    </xf>
    <xf numFmtId="2" fontId="37" fillId="0" borderId="40" xfId="0" applyNumberFormat="1" applyFont="1" applyBorder="1" applyAlignment="1">
      <alignment vertical="center" shrinkToFit="1"/>
    </xf>
    <xf numFmtId="0" fontId="21" fillId="0" borderId="41" xfId="0" applyFont="1" applyBorder="1" applyAlignment="1">
      <alignment horizontal="center" vertical="center" wrapText="1"/>
    </xf>
    <xf numFmtId="2" fontId="10" fillId="2" borderId="39" xfId="0" applyNumberFormat="1" applyFont="1" applyFill="1" applyBorder="1" applyAlignment="1">
      <alignment horizontal="right" vertical="center" shrinkToFit="1"/>
    </xf>
    <xf numFmtId="2" fontId="37" fillId="3" borderId="40" xfId="0" applyNumberFormat="1" applyFont="1" applyFill="1" applyBorder="1" applyAlignment="1">
      <alignment vertical="center"/>
    </xf>
    <xf numFmtId="0" fontId="19" fillId="0" borderId="42" xfId="0" applyFont="1" applyBorder="1"/>
    <xf numFmtId="176" fontId="47" fillId="5" borderId="1" xfId="0" applyNumberFormat="1" applyFont="1" applyFill="1" applyBorder="1"/>
    <xf numFmtId="2" fontId="5" fillId="4" borderId="1" xfId="0" applyNumberFormat="1" applyFont="1" applyFill="1" applyBorder="1" applyAlignment="1">
      <alignment vertical="center"/>
    </xf>
    <xf numFmtId="2" fontId="5" fillId="0" borderId="8" xfId="0" applyNumberFormat="1" applyFont="1" applyBorder="1" applyAlignment="1">
      <alignment vertical="center"/>
    </xf>
    <xf numFmtId="2" fontId="5" fillId="0" borderId="5" xfId="0" applyNumberFormat="1" applyFont="1" applyBorder="1" applyAlignment="1">
      <alignment vertical="center"/>
    </xf>
    <xf numFmtId="2" fontId="5" fillId="3" borderId="5" xfId="0" applyNumberFormat="1" applyFont="1" applyFill="1" applyBorder="1" applyAlignment="1">
      <alignment vertical="center"/>
    </xf>
    <xf numFmtId="177" fontId="59" fillId="0" borderId="3" xfId="0" applyNumberFormat="1" applyFont="1" applyBorder="1" applyAlignment="1">
      <alignment horizontal="right" vertical="center"/>
    </xf>
    <xf numFmtId="2" fontId="47" fillId="0" borderId="43" xfId="0" applyNumberFormat="1" applyFont="1" applyBorder="1"/>
    <xf numFmtId="10" fontId="47" fillId="0" borderId="43" xfId="0" applyNumberFormat="1" applyFont="1" applyBorder="1"/>
    <xf numFmtId="176" fontId="47" fillId="5" borderId="44" xfId="0" applyNumberFormat="1" applyFont="1" applyFill="1" applyBorder="1"/>
    <xf numFmtId="2" fontId="5" fillId="4" borderId="44" xfId="0" applyNumberFormat="1" applyFont="1" applyFill="1" applyBorder="1" applyAlignment="1">
      <alignment vertical="center"/>
    </xf>
    <xf numFmtId="2" fontId="5" fillId="3" borderId="2" xfId="0" applyNumberFormat="1" applyFont="1" applyFill="1" applyBorder="1" applyAlignment="1">
      <alignment vertical="center"/>
    </xf>
    <xf numFmtId="164" fontId="43" fillId="0" borderId="12" xfId="0" applyNumberFormat="1" applyFont="1" applyBorder="1"/>
    <xf numFmtId="10" fontId="19" fillId="0" borderId="11" xfId="0" applyNumberFormat="1" applyFont="1" applyBorder="1"/>
    <xf numFmtId="2" fontId="23" fillId="0" borderId="4" xfId="0" applyNumberFormat="1" applyFont="1" applyBorder="1" applyAlignment="1">
      <alignment horizontal="center"/>
    </xf>
    <xf numFmtId="164" fontId="23" fillId="0" borderId="10" xfId="0" applyNumberFormat="1" applyFont="1" applyBorder="1" applyAlignment="1">
      <alignment horizontal="center"/>
    </xf>
    <xf numFmtId="10" fontId="31" fillId="0" borderId="8" xfId="0" applyNumberFormat="1" applyFont="1" applyBorder="1" applyAlignment="1">
      <alignment horizontal="center"/>
    </xf>
    <xf numFmtId="2" fontId="31" fillId="0" borderId="36" xfId="0" applyNumberFormat="1" applyFont="1" applyBorder="1" applyAlignment="1">
      <alignment horizontal="center"/>
    </xf>
    <xf numFmtId="177" fontId="31" fillId="0" borderId="36" xfId="0" applyNumberFormat="1" applyFont="1" applyBorder="1" applyAlignment="1">
      <alignment horizontal="center"/>
    </xf>
    <xf numFmtId="2" fontId="31" fillId="0" borderId="37" xfId="0" applyNumberFormat="1" applyFont="1" applyBorder="1" applyAlignment="1">
      <alignment horizontal="center"/>
    </xf>
    <xf numFmtId="177" fontId="31" fillId="0" borderId="2" xfId="0" applyNumberFormat="1" applyFont="1" applyBorder="1" applyAlignment="1">
      <alignment horizontal="center"/>
    </xf>
    <xf numFmtId="2" fontId="31" fillId="0" borderId="38" xfId="0" applyNumberFormat="1" applyFont="1" applyBorder="1"/>
    <xf numFmtId="0" fontId="31" fillId="0" borderId="21" xfId="0" applyNumberFormat="1" applyFont="1" applyBorder="1" applyAlignment="1">
      <alignment horizontal="center"/>
    </xf>
    <xf numFmtId="0" fontId="19" fillId="0" borderId="13" xfId="0" applyFont="1" applyBorder="1"/>
    <xf numFmtId="2" fontId="24" fillId="0" borderId="12" xfId="0" applyNumberFormat="1" applyFont="1" applyBorder="1"/>
    <xf numFmtId="2" fontId="24" fillId="0" borderId="33" xfId="0" applyNumberFormat="1" applyFont="1" applyBorder="1"/>
    <xf numFmtId="2" fontId="19" fillId="0" borderId="11" xfId="0" applyNumberFormat="1" applyFont="1" applyBorder="1"/>
    <xf numFmtId="180" fontId="47" fillId="0" borderId="9" xfId="0" applyNumberFormat="1" applyFont="1" applyBorder="1"/>
    <xf numFmtId="180" fontId="47" fillId="0" borderId="6" xfId="0" applyNumberFormat="1" applyFont="1" applyBorder="1"/>
    <xf numFmtId="170" fontId="9" fillId="2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80" fontId="9" fillId="2" borderId="1" xfId="0" applyNumberFormat="1" applyFont="1" applyFill="1" applyBorder="1" applyAlignment="1">
      <alignment horizontal="center" vertical="center" shrinkToFit="1"/>
    </xf>
    <xf numFmtId="2" fontId="9" fillId="2" borderId="1" xfId="0" applyNumberFormat="1" applyFont="1" applyFill="1" applyBorder="1" applyAlignment="1">
      <alignment horizontal="center" vertical="center" shrinkToFit="1"/>
    </xf>
    <xf numFmtId="2" fontId="9" fillId="5" borderId="1" xfId="0" applyNumberFormat="1" applyFont="1" applyFill="1" applyBorder="1" applyAlignment="1">
      <alignment horizontal="center" vertical="center" shrinkToFit="1"/>
    </xf>
    <xf numFmtId="2" fontId="51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0" fontId="7" fillId="0" borderId="1" xfId="0" applyNumberFormat="1" applyFont="1" applyBorder="1" applyAlignment="1">
      <alignment vertical="center"/>
    </xf>
    <xf numFmtId="2" fontId="8" fillId="2" borderId="1" xfId="0" applyNumberFormat="1" applyFont="1" applyFill="1" applyBorder="1" applyAlignment="1">
      <alignment horizontal="right" vertical="center" shrinkToFit="1"/>
    </xf>
    <xf numFmtId="2" fontId="10" fillId="2" borderId="16" xfId="0" applyNumberFormat="1" applyFont="1" applyFill="1" applyBorder="1" applyAlignment="1">
      <alignment horizontal="right" vertical="center" shrinkToFit="1"/>
    </xf>
    <xf numFmtId="0" fontId="14" fillId="0" borderId="45" xfId="0" applyFont="1" applyBorder="1" applyAlignment="1">
      <alignment horizontal="center" vertical="center" shrinkToFit="1"/>
    </xf>
    <xf numFmtId="49" fontId="52" fillId="0" borderId="44" xfId="0" applyNumberFormat="1" applyFont="1" applyBorder="1" applyAlignment="1">
      <alignment horizontal="center" vertical="center" shrinkToFit="1"/>
    </xf>
    <xf numFmtId="0" fontId="14" fillId="0" borderId="44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48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2" fillId="0" borderId="45" xfId="0" applyFont="1" applyBorder="1"/>
    <xf numFmtId="0" fontId="2" fillId="0" borderId="47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2" fontId="19" fillId="0" borderId="47" xfId="0" applyNumberFormat="1" applyFont="1" applyBorder="1" applyAlignment="1">
      <alignment horizontal="left" vertical="center"/>
    </xf>
    <xf numFmtId="175" fontId="19" fillId="0" borderId="17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0" fontId="2" fillId="0" borderId="49" xfId="0" applyFont="1" applyBorder="1"/>
    <xf numFmtId="0" fontId="19" fillId="5" borderId="49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50" xfId="0" applyBorder="1"/>
    <xf numFmtId="2" fontId="19" fillId="0" borderId="50" xfId="0" applyNumberFormat="1" applyFont="1" applyBorder="1" applyAlignment="1">
      <alignment horizontal="center" vertical="center"/>
    </xf>
    <xf numFmtId="2" fontId="10" fillId="2" borderId="52" xfId="0" applyNumberFormat="1" applyFont="1" applyFill="1" applyBorder="1" applyAlignment="1">
      <alignment horizontal="right" vertical="center" shrinkToFit="1"/>
    </xf>
    <xf numFmtId="0" fontId="0" fillId="0" borderId="0" xfId="0"/>
    <xf numFmtId="0" fontId="2" fillId="0" borderId="33" xfId="0" applyFont="1" applyBorder="1" applyAlignment="1">
      <alignment horizontal="center"/>
    </xf>
    <xf numFmtId="0" fontId="2" fillId="0" borderId="0" xfId="0" applyFont="1"/>
    <xf numFmtId="0" fontId="0" fillId="0" borderId="49" xfId="0" applyBorder="1" applyAlignment="1">
      <alignment horizontal="center"/>
    </xf>
    <xf numFmtId="170" fontId="9" fillId="2" borderId="0" xfId="0" applyNumberFormat="1" applyFont="1" applyFill="1" applyBorder="1" applyAlignment="1">
      <alignment horizontal="center" vertical="center" shrinkToFit="1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shrinkToFit="1"/>
    </xf>
    <xf numFmtId="0" fontId="3" fillId="0" borderId="0" xfId="0" applyFont="1" applyBorder="1"/>
    <xf numFmtId="2" fontId="19" fillId="0" borderId="0" xfId="0" applyNumberFormat="1" applyFont="1" applyBorder="1" applyAlignment="1">
      <alignment horizontal="center"/>
    </xf>
    <xf numFmtId="164" fontId="43" fillId="0" borderId="0" xfId="0" applyNumberFormat="1" applyFont="1" applyBorder="1"/>
    <xf numFmtId="10" fontId="0" fillId="0" borderId="0" xfId="0" applyNumberFormat="1" applyBorder="1"/>
    <xf numFmtId="0" fontId="7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vertical="center" shrinkToFit="1"/>
    </xf>
    <xf numFmtId="10" fontId="9" fillId="2" borderId="0" xfId="0" applyNumberFormat="1" applyFont="1" applyFill="1" applyBorder="1" applyAlignment="1">
      <alignment horizontal="center" vertical="center" shrinkToFit="1"/>
    </xf>
    <xf numFmtId="10" fontId="3" fillId="0" borderId="0" xfId="0" applyNumberFormat="1" applyFont="1" applyBorder="1"/>
    <xf numFmtId="0" fontId="24" fillId="0" borderId="0" xfId="0" applyFont="1" applyBorder="1"/>
    <xf numFmtId="10" fontId="14" fillId="0" borderId="0" xfId="0" applyNumberFormat="1" applyFont="1" applyBorder="1" applyAlignment="1">
      <alignment vertical="center"/>
    </xf>
    <xf numFmtId="10" fontId="7" fillId="0" borderId="0" xfId="0" applyNumberFormat="1" applyFont="1" applyBorder="1" applyAlignment="1">
      <alignment vertical="center"/>
    </xf>
    <xf numFmtId="164" fontId="19" fillId="0" borderId="0" xfId="0" applyNumberFormat="1" applyFont="1" applyBorder="1"/>
    <xf numFmtId="16" fontId="0" fillId="0" borderId="0" xfId="0" applyNumberFormat="1" applyBorder="1" applyAlignment="1">
      <alignment horizontal="center"/>
    </xf>
    <xf numFmtId="2" fontId="4" fillId="0" borderId="0" xfId="0" applyNumberFormat="1" applyFont="1" applyBorder="1"/>
    <xf numFmtId="0" fontId="22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2" fontId="3" fillId="0" borderId="0" xfId="0" applyNumberFormat="1" applyFont="1" applyBorder="1"/>
    <xf numFmtId="2" fontId="9" fillId="2" borderId="0" xfId="0" applyNumberFormat="1" applyFont="1" applyFill="1" applyBorder="1" applyAlignment="1">
      <alignment horizontal="center" vertical="center" shrinkToFit="1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shrinkToFit="1"/>
    </xf>
    <xf numFmtId="2" fontId="4" fillId="0" borderId="0" xfId="0" applyNumberFormat="1" applyFont="1" applyBorder="1" applyAlignment="1">
      <alignment horizontal="right"/>
    </xf>
    <xf numFmtId="165" fontId="4" fillId="0" borderId="0" xfId="0" applyNumberFormat="1" applyFont="1" applyBorder="1" applyAlignment="1">
      <alignment horizontal="center"/>
    </xf>
    <xf numFmtId="164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2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2" fontId="19" fillId="0" borderId="0" xfId="0" applyNumberFormat="1" applyFont="1" applyBorder="1" applyAlignment="1">
      <alignment horizontal="center" vertical="center"/>
    </xf>
    <xf numFmtId="2" fontId="19" fillId="5" borderId="0" xfId="0" applyNumberFormat="1" applyFont="1" applyFill="1" applyBorder="1"/>
    <xf numFmtId="174" fontId="0" fillId="0" borderId="0" xfId="0" applyNumberFormat="1" applyBorder="1"/>
    <xf numFmtId="165" fontId="0" fillId="0" borderId="0" xfId="0" applyNumberFormat="1" applyBorder="1" applyAlignment="1">
      <alignment horizontal="center"/>
    </xf>
    <xf numFmtId="0" fontId="19" fillId="5" borderId="0" xfId="0" applyFont="1" applyFill="1" applyBorder="1"/>
    <xf numFmtId="10" fontId="19" fillId="0" borderId="0" xfId="0" applyNumberFormat="1" applyFont="1" applyBorder="1"/>
    <xf numFmtId="2" fontId="19" fillId="5" borderId="0" xfId="0" applyNumberFormat="1" applyFont="1" applyFill="1" applyBorder="1" applyAlignment="1">
      <alignment horizontal="center"/>
    </xf>
    <xf numFmtId="164" fontId="23" fillId="0" borderId="0" xfId="0" applyNumberFormat="1" applyFont="1" applyBorder="1" applyAlignment="1">
      <alignment horizontal="center"/>
    </xf>
    <xf numFmtId="10" fontId="31" fillId="0" borderId="0" xfId="0" applyNumberFormat="1" applyFont="1" applyBorder="1" applyAlignment="1">
      <alignment horizontal="center"/>
    </xf>
    <xf numFmtId="2" fontId="31" fillId="0" borderId="0" xfId="0" applyNumberFormat="1" applyFont="1" applyBorder="1" applyAlignment="1">
      <alignment horizontal="center"/>
    </xf>
    <xf numFmtId="177" fontId="31" fillId="0" borderId="0" xfId="0" applyNumberFormat="1" applyFont="1" applyBorder="1" applyAlignment="1">
      <alignment horizontal="center"/>
    </xf>
    <xf numFmtId="2" fontId="47" fillId="0" borderId="0" xfId="0" applyNumberFormat="1" applyFont="1" applyBorder="1"/>
    <xf numFmtId="2" fontId="22" fillId="0" borderId="0" xfId="0" applyNumberFormat="1" applyFont="1" applyBorder="1"/>
    <xf numFmtId="2" fontId="23" fillId="0" borderId="0" xfId="0" applyNumberFormat="1" applyFont="1" applyBorder="1" applyAlignment="1">
      <alignment horizontal="center"/>
    </xf>
    <xf numFmtId="2" fontId="31" fillId="0" borderId="0" xfId="0" applyNumberFormat="1" applyFont="1" applyBorder="1"/>
    <xf numFmtId="0" fontId="31" fillId="0" borderId="0" xfId="0" applyNumberFormat="1" applyFont="1" applyBorder="1" applyAlignment="1">
      <alignment horizontal="center"/>
    </xf>
    <xf numFmtId="2" fontId="24" fillId="0" borderId="0" xfId="0" applyNumberFormat="1" applyFont="1" applyBorder="1"/>
    <xf numFmtId="175" fontId="19" fillId="0" borderId="0" xfId="0" applyNumberFormat="1" applyFont="1" applyBorder="1" applyAlignment="1">
      <alignment horizontal="center" vertical="center"/>
    </xf>
    <xf numFmtId="174" fontId="50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2" fontId="53" fillId="0" borderId="0" xfId="0" applyNumberFormat="1" applyFont="1" applyBorder="1" applyAlignment="1">
      <alignment vertical="center"/>
    </xf>
    <xf numFmtId="49" fontId="52" fillId="0" borderId="0" xfId="0" applyNumberFormat="1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1" fillId="0" borderId="0" xfId="0" applyFont="1" applyBorder="1" applyAlignment="1">
      <alignment horizontal="center" vertical="center" shrinkToFit="1"/>
    </xf>
    <xf numFmtId="0" fontId="4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180" fontId="9" fillId="2" borderId="0" xfId="0" applyNumberFormat="1" applyFont="1" applyFill="1" applyBorder="1" applyAlignment="1">
      <alignment horizontal="center" vertical="center" shrinkToFit="1"/>
    </xf>
    <xf numFmtId="2" fontId="9" fillId="5" borderId="0" xfId="0" applyNumberFormat="1" applyFont="1" applyFill="1" applyBorder="1" applyAlignment="1">
      <alignment horizontal="center" vertical="center" shrinkToFit="1"/>
    </xf>
    <xf numFmtId="2" fontId="51" fillId="0" borderId="0" xfId="0" applyNumberFormat="1" applyFont="1" applyBorder="1"/>
    <xf numFmtId="10" fontId="7" fillId="0" borderId="0" xfId="0" applyNumberFormat="1" applyFont="1" applyBorder="1" applyAlignment="1">
      <alignment horizontal="center" vertical="center"/>
    </xf>
    <xf numFmtId="2" fontId="11" fillId="0" borderId="0" xfId="0" applyNumberFormat="1" applyFont="1" applyBorder="1"/>
    <xf numFmtId="2" fontId="8" fillId="2" borderId="0" xfId="0" applyNumberFormat="1" applyFont="1" applyFill="1" applyBorder="1" applyAlignment="1">
      <alignment horizontal="right" vertical="center" shrinkToFit="1"/>
    </xf>
    <xf numFmtId="2" fontId="10" fillId="2" borderId="0" xfId="0" applyNumberFormat="1" applyFont="1" applyFill="1" applyBorder="1" applyAlignment="1">
      <alignment horizontal="right" vertical="center" shrinkToFit="1"/>
    </xf>
    <xf numFmtId="0" fontId="41" fillId="0" borderId="0" xfId="0" applyFont="1" applyBorder="1" applyAlignment="1">
      <alignment horizontal="center" vertical="center" wrapText="1"/>
    </xf>
    <xf numFmtId="0" fontId="41" fillId="5" borderId="0" xfId="0" applyFont="1" applyFill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right" vertical="center"/>
    </xf>
    <xf numFmtId="2" fontId="7" fillId="0" borderId="0" xfId="0" applyNumberFormat="1" applyFont="1" applyBorder="1" applyAlignment="1">
      <alignment horizontal="center" vertical="center" shrinkToFit="1"/>
    </xf>
    <xf numFmtId="2" fontId="38" fillId="0" borderId="0" xfId="0" applyNumberFormat="1" applyFont="1" applyBorder="1" applyAlignment="1">
      <alignment vertical="center" shrinkToFit="1"/>
    </xf>
    <xf numFmtId="2" fontId="7" fillId="0" borderId="0" xfId="0" applyNumberFormat="1" applyFont="1" applyBorder="1" applyAlignment="1">
      <alignment vertical="center" shrinkToFit="1"/>
    </xf>
    <xf numFmtId="2" fontId="39" fillId="0" borderId="0" xfId="0" applyNumberFormat="1" applyFont="1" applyBorder="1" applyAlignment="1">
      <alignment vertical="center" shrinkToFit="1"/>
    </xf>
    <xf numFmtId="2" fontId="37" fillId="0" borderId="0" xfId="0" applyNumberFormat="1" applyFont="1" applyBorder="1" applyAlignment="1">
      <alignment vertical="center" shrinkToFit="1"/>
    </xf>
    <xf numFmtId="0" fontId="14" fillId="0" borderId="0" xfId="0" applyFont="1" applyBorder="1" applyAlignment="1">
      <alignment horizontal="center" vertical="center" wrapText="1" shrinkToFit="1"/>
    </xf>
    <xf numFmtId="0" fontId="48" fillId="0" borderId="0" xfId="0" applyFont="1" applyBorder="1" applyAlignment="1">
      <alignment horizontal="center" vertical="center" shrinkToFit="1"/>
    </xf>
    <xf numFmtId="0" fontId="14" fillId="5" borderId="0" xfId="0" applyFont="1" applyFill="1" applyBorder="1" applyAlignment="1">
      <alignment horizontal="center" vertical="center" shrinkToFit="1"/>
    </xf>
    <xf numFmtId="0" fontId="49" fillId="0" borderId="0" xfId="0" applyFont="1" applyBorder="1" applyAlignment="1">
      <alignment horizontal="center" vertical="center" shrinkToFit="1"/>
    </xf>
    <xf numFmtId="0" fontId="31" fillId="0" borderId="0" xfId="0" applyFont="1" applyBorder="1"/>
    <xf numFmtId="177" fontId="19" fillId="0" borderId="0" xfId="0" applyNumberFormat="1" applyFont="1" applyBorder="1"/>
    <xf numFmtId="180" fontId="47" fillId="0" borderId="0" xfId="0" applyNumberFormat="1" applyFont="1" applyBorder="1"/>
    <xf numFmtId="177" fontId="58" fillId="0" borderId="0" xfId="0" applyNumberFormat="1" applyFont="1" applyBorder="1"/>
    <xf numFmtId="177" fontId="60" fillId="0" borderId="0" xfId="0" applyNumberFormat="1" applyFont="1" applyBorder="1"/>
    <xf numFmtId="10" fontId="58" fillId="0" borderId="0" xfId="1" applyNumberFormat="1" applyFont="1" applyBorder="1"/>
    <xf numFmtId="176" fontId="47" fillId="5" borderId="0" xfId="0" applyNumberFormat="1" applyFont="1" applyFill="1" applyBorder="1"/>
    <xf numFmtId="164" fontId="5" fillId="4" borderId="0" xfId="0" applyNumberFormat="1" applyFont="1" applyFill="1" applyBorder="1" applyAlignment="1">
      <alignment vertical="center"/>
    </xf>
    <xf numFmtId="2" fontId="5" fillId="4" borderId="0" xfId="0" applyNumberFormat="1" applyFont="1" applyFill="1" applyBorder="1" applyAlignment="1">
      <alignment vertical="center"/>
    </xf>
    <xf numFmtId="177" fontId="0" fillId="0" borderId="0" xfId="0" applyNumberFormat="1" applyBorder="1"/>
    <xf numFmtId="178" fontId="19" fillId="0" borderId="0" xfId="1" applyNumberFormat="1" applyFont="1" applyBorder="1"/>
    <xf numFmtId="0" fontId="14" fillId="0" borderId="0" xfId="0" applyFont="1" applyBorder="1" applyAlignment="1">
      <alignment vertical="center"/>
    </xf>
    <xf numFmtId="2" fontId="39" fillId="3" borderId="0" xfId="0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2" fontId="37" fillId="3" borderId="0" xfId="0" applyNumberFormat="1" applyFont="1" applyFill="1" applyBorder="1" applyAlignment="1">
      <alignment vertical="center"/>
    </xf>
    <xf numFmtId="10" fontId="55" fillId="0" borderId="0" xfId="0" applyNumberFormat="1" applyFont="1" applyBorder="1" applyAlignment="1">
      <alignment horizontal="right" vertical="center"/>
    </xf>
    <xf numFmtId="177" fontId="59" fillId="0" borderId="0" xfId="0" applyNumberFormat="1" applyFont="1" applyBorder="1" applyAlignment="1">
      <alignment horizontal="right" vertical="center"/>
    </xf>
    <xf numFmtId="10" fontId="47" fillId="0" borderId="0" xfId="0" applyNumberFormat="1" applyFont="1" applyBorder="1"/>
    <xf numFmtId="2" fontId="26" fillId="0" borderId="0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176" fontId="47" fillId="0" borderId="0" xfId="0" applyNumberFormat="1" applyFont="1" applyBorder="1"/>
    <xf numFmtId="179" fontId="0" fillId="0" borderId="0" xfId="0" applyNumberFormat="1" applyBorder="1"/>
    <xf numFmtId="167" fontId="20" fillId="0" borderId="0" xfId="0" applyNumberFormat="1" applyFont="1" applyBorder="1" applyAlignment="1">
      <alignment vertical="center" shrinkToFit="1"/>
    </xf>
    <xf numFmtId="167" fontId="20" fillId="5" borderId="0" xfId="0" applyNumberFormat="1" applyFont="1" applyFill="1" applyBorder="1" applyAlignment="1">
      <alignment vertical="center" shrinkToFit="1"/>
    </xf>
    <xf numFmtId="172" fontId="25" fillId="0" borderId="0" xfId="0" applyNumberFormat="1" applyFont="1" applyBorder="1" applyAlignment="1">
      <alignment vertical="center"/>
    </xf>
    <xf numFmtId="0" fontId="19" fillId="0" borderId="0" xfId="0" applyFont="1" applyBorder="1" applyAlignment="1">
      <alignment horizontal="right"/>
    </xf>
    <xf numFmtId="10" fontId="31" fillId="0" borderId="0" xfId="0" applyNumberFormat="1" applyFont="1" applyBorder="1"/>
    <xf numFmtId="10" fontId="31" fillId="5" borderId="0" xfId="0" applyNumberFormat="1" applyFont="1" applyFill="1" applyBorder="1"/>
    <xf numFmtId="173" fontId="31" fillId="0" borderId="0" xfId="0" applyNumberFormat="1" applyFont="1" applyBorder="1"/>
    <xf numFmtId="2" fontId="25" fillId="0" borderId="0" xfId="0" applyNumberFormat="1" applyFont="1" applyBorder="1"/>
    <xf numFmtId="2" fontId="25" fillId="5" borderId="0" xfId="0" applyNumberFormat="1" applyFont="1" applyFill="1" applyBorder="1"/>
    <xf numFmtId="10" fontId="20" fillId="0" borderId="0" xfId="0" applyNumberFormat="1" applyFont="1" applyBorder="1" applyAlignment="1">
      <alignment vertical="center" shrinkToFit="1"/>
    </xf>
    <xf numFmtId="10" fontId="20" fillId="5" borderId="0" xfId="0" applyNumberFormat="1" applyFont="1" applyFill="1" applyBorder="1" applyAlignment="1">
      <alignment vertical="center" shrinkToFit="1"/>
    </xf>
    <xf numFmtId="0" fontId="23" fillId="0" borderId="0" xfId="0" applyFont="1" applyBorder="1" applyAlignment="1">
      <alignment horizontal="center"/>
    </xf>
    <xf numFmtId="169" fontId="27" fillId="0" borderId="0" xfId="0" applyNumberFormat="1" applyFont="1" applyBorder="1"/>
    <xf numFmtId="169" fontId="27" fillId="5" borderId="0" xfId="0" applyNumberFormat="1" applyFont="1" applyFill="1" applyBorder="1"/>
    <xf numFmtId="2" fontId="26" fillId="0" borderId="0" xfId="0" applyNumberFormat="1" applyFont="1" applyBorder="1" applyAlignment="1">
      <alignment horizontal="right" vertical="center"/>
    </xf>
    <xf numFmtId="2" fontId="30" fillId="0" borderId="0" xfId="0" applyNumberFormat="1" applyFont="1" applyBorder="1" applyAlignment="1">
      <alignment horizontal="right" vertical="center"/>
    </xf>
    <xf numFmtId="2" fontId="14" fillId="0" borderId="0" xfId="0" applyNumberFormat="1" applyFont="1" applyBorder="1" applyAlignment="1">
      <alignment horizontal="right" vertical="center"/>
    </xf>
    <xf numFmtId="2" fontId="28" fillId="0" borderId="0" xfId="0" applyNumberFormat="1" applyFont="1" applyBorder="1" applyAlignment="1">
      <alignment horizontal="right" vertical="center"/>
    </xf>
    <xf numFmtId="169" fontId="27" fillId="0" borderId="0" xfId="0" applyNumberFormat="1" applyFont="1" applyBorder="1" applyAlignment="1">
      <alignment vertical="center" shrinkToFit="1"/>
    </xf>
    <xf numFmtId="169" fontId="27" fillId="5" borderId="0" xfId="0" applyNumberFormat="1" applyFont="1" applyFill="1" applyBorder="1" applyAlignment="1">
      <alignment vertical="center" shrinkToFit="1"/>
    </xf>
    <xf numFmtId="2" fontId="14" fillId="0" borderId="0" xfId="0" applyNumberFormat="1" applyFont="1" applyBorder="1" applyAlignment="1">
      <alignment horizontal="right" vertical="center" shrinkToFit="1"/>
    </xf>
    <xf numFmtId="2" fontId="30" fillId="0" borderId="0" xfId="0" applyNumberFormat="1" applyFont="1" applyBorder="1" applyAlignment="1">
      <alignment horizontal="right" vertical="center" shrinkToFit="1"/>
    </xf>
    <xf numFmtId="168" fontId="33" fillId="0" borderId="0" xfId="0" applyNumberFormat="1" applyFont="1" applyBorder="1" applyAlignment="1">
      <alignment vertical="center"/>
    </xf>
    <xf numFmtId="2" fontId="29" fillId="0" borderId="0" xfId="0" applyNumberFormat="1" applyFont="1" applyBorder="1" applyAlignment="1">
      <alignment horizontal="right"/>
    </xf>
    <xf numFmtId="2" fontId="32" fillId="0" borderId="0" xfId="0" applyNumberFormat="1" applyFont="1" applyBorder="1" applyAlignment="1">
      <alignment horizontal="right"/>
    </xf>
    <xf numFmtId="169" fontId="3" fillId="0" borderId="0" xfId="0" applyNumberFormat="1" applyFont="1" applyBorder="1"/>
    <xf numFmtId="169" fontId="3" fillId="5" borderId="0" xfId="0" applyNumberFormat="1" applyFont="1" applyFill="1" applyBorder="1"/>
    <xf numFmtId="169" fontId="27" fillId="3" borderId="0" xfId="0" applyNumberFormat="1" applyFont="1" applyFill="1" applyBorder="1" applyAlignment="1">
      <alignment vertical="center"/>
    </xf>
    <xf numFmtId="169" fontId="27" fillId="6" borderId="0" xfId="0" applyNumberFormat="1" applyFont="1" applyFill="1" applyBorder="1" applyAlignment="1">
      <alignment vertical="center"/>
    </xf>
    <xf numFmtId="2" fontId="26" fillId="0" borderId="0" xfId="0" applyNumberFormat="1" applyFont="1" applyBorder="1" applyAlignment="1">
      <alignment vertical="center"/>
    </xf>
    <xf numFmtId="2" fontId="7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7" fillId="5" borderId="0" xfId="0" applyFont="1" applyFill="1" applyBorder="1" applyAlignment="1">
      <alignment horizontal="right" vertical="center"/>
    </xf>
    <xf numFmtId="14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vertical="center"/>
    </xf>
    <xf numFmtId="14" fontId="18" fillId="0" borderId="0" xfId="0" applyNumberFormat="1" applyFont="1" applyBorder="1" applyAlignment="1">
      <alignment horizontal="right" vertical="center" shrinkToFit="1"/>
    </xf>
    <xf numFmtId="14" fontId="18" fillId="5" borderId="0" xfId="0" applyNumberFormat="1" applyFont="1" applyFill="1" applyBorder="1" applyAlignment="1">
      <alignment horizontal="right" vertical="center" shrinkToFit="1"/>
    </xf>
    <xf numFmtId="0" fontId="7" fillId="5" borderId="0" xfId="0" applyFont="1" applyFill="1" applyBorder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right" vertical="center" shrinkToFit="1"/>
    </xf>
    <xf numFmtId="0" fontId="2" fillId="5" borderId="0" xfId="0" applyFont="1" applyFill="1" applyBorder="1"/>
    <xf numFmtId="181" fontId="31" fillId="0" borderId="2" xfId="0" applyNumberFormat="1" applyFont="1" applyBorder="1" applyAlignment="1">
      <alignment horizontal="center"/>
    </xf>
    <xf numFmtId="0" fontId="0" fillId="0" borderId="0" xfId="0"/>
    <xf numFmtId="0" fontId="2" fillId="0" borderId="33" xfId="0" applyFont="1" applyBorder="1" applyAlignment="1">
      <alignment horizontal="center"/>
    </xf>
    <xf numFmtId="0" fontId="2" fillId="0" borderId="0" xfId="0" applyFont="1"/>
    <xf numFmtId="0" fontId="0" fillId="0" borderId="49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9" fillId="2" borderId="9" xfId="0" applyNumberFormat="1" applyFont="1" applyFill="1" applyBorder="1" applyAlignment="1">
      <alignment horizontal="center" vertical="center" shrinkToFit="1"/>
    </xf>
    <xf numFmtId="0" fontId="9" fillId="2" borderId="6" xfId="0" applyNumberFormat="1" applyFont="1" applyFill="1" applyBorder="1" applyAlignment="1">
      <alignment horizontal="center" vertical="center" shrinkToFit="1"/>
    </xf>
    <xf numFmtId="0" fontId="14" fillId="0" borderId="6" xfId="0" applyNumberFormat="1" applyFont="1" applyBorder="1" applyAlignment="1">
      <alignment vertical="center"/>
    </xf>
    <xf numFmtId="0" fontId="14" fillId="0" borderId="3" xfId="0" applyNumberFormat="1" applyFont="1" applyBorder="1" applyAlignment="1">
      <alignment vertical="center"/>
    </xf>
    <xf numFmtId="0" fontId="14" fillId="0" borderId="0" xfId="0" applyNumberFormat="1" applyFont="1" applyAlignment="1">
      <alignment vertical="center"/>
    </xf>
    <xf numFmtId="0" fontId="0" fillId="0" borderId="0" xfId="0" applyNumberFormat="1"/>
    <xf numFmtId="10" fontId="19" fillId="0" borderId="0" xfId="1" applyNumberFormat="1" applyFont="1"/>
    <xf numFmtId="0" fontId="0" fillId="0" borderId="0" xfId="0"/>
    <xf numFmtId="0" fontId="2" fillId="0" borderId="33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/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</cellXfs>
  <cellStyles count="2">
    <cellStyle name="Normál" xfId="0" builtinId="0"/>
    <cellStyle name="Százalék" xfId="1" builtinId="5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KOSKOD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RTESDARABOLAS"/>
      <sheetName val="KOLTSEGEK"/>
      <sheetName val="MAGYAROS"/>
      <sheetName val="ROMAN-MAGYAROS"/>
      <sheetName val="FALATKA"/>
      <sheetName val="JOTEVO"/>
      <sheetName val="NYARISZALAMI"/>
      <sheetName val="DEAKHAZIKOLBASZ"/>
      <sheetName val="CSIRKEVIRSLI (2)"/>
      <sheetName val="CSIRKEVIRSLI"/>
      <sheetName val="PIKNIK2404"/>
      <sheetName val="JUHKB"/>
      <sheetName val="FUSTCSULOKCSN"/>
      <sheetName val="ZSIROLVASZTAS"/>
      <sheetName val="sert.has-oldalas"/>
      <sheetName val="CSULOKCS.N."/>
      <sheetName val="FÖSAJT"/>
      <sheetName val="SZALAMI-TOLTES"/>
      <sheetName val="PAGANI"/>
    </sheetNames>
    <sheetDataSet>
      <sheetData sheetId="0" refreshError="1"/>
      <sheetData sheetId="1" refreshError="1">
        <row r="27">
          <cell r="B27">
            <v>7.9729729729729728</v>
          </cell>
        </row>
        <row r="37">
          <cell r="B37">
            <v>0.52100000000000002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66"/>
  <sheetViews>
    <sheetView topLeftCell="A55" zoomScale="85" zoomScaleNormal="85" workbookViewId="0">
      <selection activeCell="F7" sqref="F7"/>
    </sheetView>
  </sheetViews>
  <sheetFormatPr defaultRowHeight="21"/>
  <cols>
    <col min="1" max="1" width="5.42578125" style="346" customWidth="1"/>
    <col min="2" max="2" width="13.140625" style="346" bestFit="1" customWidth="1"/>
    <col min="3" max="3" width="51.7109375" style="346" bestFit="1" customWidth="1"/>
    <col min="4" max="4" width="22.140625" style="346" bestFit="1" customWidth="1"/>
    <col min="5" max="5" width="16.42578125" style="346" customWidth="1"/>
    <col min="6" max="6" width="24.7109375" style="346" customWidth="1"/>
    <col min="7" max="9" width="28.28515625" style="346" customWidth="1"/>
    <col min="10" max="10" width="25" style="346" customWidth="1"/>
    <col min="11" max="11" width="22.85546875" style="346" customWidth="1"/>
    <col min="12" max="12" width="14" style="346" customWidth="1"/>
    <col min="13" max="14" width="16.42578125" style="309" hidden="1" customWidth="1"/>
    <col min="15" max="15" width="19" style="346" hidden="1" customWidth="1"/>
    <col min="16" max="16" width="19.85546875" style="346" hidden="1" customWidth="1"/>
    <col min="17" max="18" width="19" style="346" hidden="1" customWidth="1"/>
    <col min="19" max="19" width="23.140625" style="346" hidden="1" customWidth="1"/>
    <col min="20" max="20" width="2.42578125" style="346" hidden="1" customWidth="1"/>
    <col min="21" max="21" width="16.42578125" style="346" bestFit="1" customWidth="1"/>
    <col min="22" max="22" width="17.5703125" style="346" customWidth="1"/>
    <col min="23" max="23" width="18.7109375" style="346" bestFit="1" customWidth="1"/>
    <col min="24" max="24" width="23.28515625" style="346" customWidth="1"/>
    <col min="25" max="25" width="17" style="346" bestFit="1" customWidth="1"/>
    <col min="26" max="26" width="11.85546875" style="345" customWidth="1"/>
    <col min="27" max="27" width="7.140625" style="32" bestFit="1" customWidth="1"/>
    <col min="28" max="28" width="15" style="32" bestFit="1" customWidth="1"/>
    <col min="29" max="16384" width="9.140625" style="346"/>
  </cols>
  <sheetData>
    <row r="1" spans="1:46" ht="21.75" thickBot="1">
      <c r="B1" s="266" t="s">
        <v>63</v>
      </c>
      <c r="C1" s="265" t="s">
        <v>62</v>
      </c>
      <c r="D1" s="597"/>
      <c r="E1" s="598"/>
      <c r="F1" s="263"/>
      <c r="G1" s="263"/>
      <c r="H1" s="263"/>
      <c r="I1" s="263"/>
      <c r="J1" s="263"/>
      <c r="K1" s="263"/>
      <c r="L1" s="263"/>
      <c r="M1" s="286"/>
      <c r="N1" s="286"/>
      <c r="O1" s="597"/>
      <c r="P1" s="598"/>
      <c r="Q1" s="347"/>
      <c r="R1" s="263"/>
      <c r="S1" s="263"/>
      <c r="T1" s="262">
        <v>3</v>
      </c>
      <c r="U1" s="262">
        <v>2</v>
      </c>
      <c r="V1" s="262">
        <v>3</v>
      </c>
    </row>
    <row r="2" spans="1:46" s="345" customFormat="1">
      <c r="A2" s="261" t="s">
        <v>61</v>
      </c>
      <c r="B2" s="260"/>
      <c r="C2" s="259" t="s">
        <v>60</v>
      </c>
      <c r="D2" s="258"/>
      <c r="E2" s="257"/>
      <c r="F2" s="279"/>
      <c r="G2" s="279"/>
      <c r="H2" s="279"/>
      <c r="I2" s="279"/>
      <c r="J2" s="279"/>
      <c r="K2" s="279"/>
      <c r="L2" s="279"/>
      <c r="M2" s="287"/>
      <c r="N2" s="287"/>
      <c r="O2" s="599" t="s">
        <v>59</v>
      </c>
      <c r="P2" s="599"/>
      <c r="Q2" s="600"/>
      <c r="R2" s="348"/>
      <c r="S2" s="255" t="s">
        <v>58</v>
      </c>
      <c r="T2" s="254"/>
      <c r="U2" s="253"/>
      <c r="V2" s="252"/>
      <c r="W2" s="346"/>
      <c r="X2" s="346"/>
      <c r="Y2" s="346"/>
      <c r="Z2" s="338"/>
      <c r="AA2" s="247"/>
      <c r="AB2" s="32"/>
    </row>
    <row r="3" spans="1:46">
      <c r="A3" s="177" t="s">
        <v>57</v>
      </c>
      <c r="B3" s="240"/>
      <c r="C3" s="246">
        <v>45435</v>
      </c>
      <c r="D3" s="242">
        <v>1</v>
      </c>
      <c r="E3" s="245">
        <v>2</v>
      </c>
      <c r="F3" s="283"/>
      <c r="G3" s="283"/>
      <c r="H3" s="283"/>
      <c r="I3" s="283"/>
      <c r="J3" s="283"/>
      <c r="K3" s="283"/>
      <c r="L3" s="283"/>
      <c r="M3" s="288"/>
      <c r="N3" s="288"/>
      <c r="O3" s="242">
        <v>3</v>
      </c>
      <c r="P3" s="32">
        <v>4</v>
      </c>
      <c r="Q3" s="228">
        <v>5</v>
      </c>
      <c r="R3" s="227"/>
      <c r="S3" s="227">
        <v>6</v>
      </c>
      <c r="T3" s="244">
        <v>8</v>
      </c>
      <c r="U3" s="32">
        <v>9</v>
      </c>
      <c r="V3" s="243">
        <v>10</v>
      </c>
      <c r="Z3" s="345">
        <v>14</v>
      </c>
      <c r="AA3" s="241">
        <v>15</v>
      </c>
      <c r="AB3" s="32">
        <v>16</v>
      </c>
      <c r="AC3" s="32">
        <v>17</v>
      </c>
      <c r="AD3" s="32">
        <v>18</v>
      </c>
      <c r="AE3" s="32">
        <v>19</v>
      </c>
      <c r="AF3" s="32">
        <v>20</v>
      </c>
      <c r="AG3" s="32">
        <v>21</v>
      </c>
      <c r="AH3" s="32">
        <v>22</v>
      </c>
      <c r="AI3" s="32">
        <v>23</v>
      </c>
      <c r="AJ3" s="32">
        <v>24</v>
      </c>
      <c r="AK3" s="32">
        <v>25</v>
      </c>
      <c r="AL3" s="32">
        <v>26</v>
      </c>
      <c r="AM3" s="32">
        <v>27</v>
      </c>
      <c r="AN3" s="32">
        <v>28</v>
      </c>
      <c r="AO3" s="32">
        <v>29</v>
      </c>
      <c r="AP3" s="32">
        <v>30</v>
      </c>
      <c r="AQ3" s="32"/>
      <c r="AR3" s="32"/>
      <c r="AS3" s="32"/>
      <c r="AT3" s="32"/>
    </row>
    <row r="4" spans="1:46">
      <c r="A4" s="177" t="s">
        <v>56</v>
      </c>
      <c r="B4" s="240"/>
      <c r="C4" s="239">
        <f>D4</f>
        <v>401</v>
      </c>
      <c r="D4" s="31">
        <v>401</v>
      </c>
      <c r="E4" s="238"/>
      <c r="F4" s="284"/>
      <c r="G4" s="284"/>
      <c r="H4" s="284"/>
      <c r="I4" s="284"/>
      <c r="J4" s="284"/>
      <c r="K4" s="284"/>
      <c r="L4" s="284"/>
      <c r="M4" s="289"/>
      <c r="N4" s="289"/>
      <c r="O4" s="234"/>
      <c r="P4" s="235"/>
      <c r="Q4" s="215"/>
      <c r="R4" s="214"/>
      <c r="S4" s="214"/>
      <c r="T4" s="237"/>
      <c r="U4" s="31"/>
      <c r="V4" s="236"/>
      <c r="Z4" s="2"/>
      <c r="AA4" s="234"/>
      <c r="AB4" s="234"/>
      <c r="AC4" s="234"/>
      <c r="AD4" s="104"/>
      <c r="AE4" s="104"/>
      <c r="AF4" s="104"/>
      <c r="AG4" s="104"/>
      <c r="AH4" s="104"/>
    </row>
    <row r="5" spans="1:46" ht="21.75" thickBot="1">
      <c r="A5" s="233"/>
      <c r="B5" s="232">
        <f>C4/C5</f>
        <v>44.555555555555557</v>
      </c>
      <c r="C5" s="201">
        <v>9</v>
      </c>
      <c r="D5" s="223">
        <v>9</v>
      </c>
      <c r="E5" s="231"/>
      <c r="F5" s="280"/>
      <c r="G5" s="280"/>
      <c r="H5" s="280"/>
      <c r="I5" s="280"/>
      <c r="J5" s="280"/>
      <c r="K5" s="280"/>
      <c r="L5" s="280"/>
      <c r="M5" s="290"/>
      <c r="N5" s="290"/>
      <c r="O5" s="230"/>
      <c r="P5" s="229"/>
      <c r="Q5" s="228"/>
      <c r="R5" s="227"/>
      <c r="S5" s="227"/>
      <c r="T5" s="226"/>
      <c r="U5" s="223"/>
      <c r="V5" s="225"/>
      <c r="Z5" s="339"/>
      <c r="AA5" s="222"/>
      <c r="AC5" s="32"/>
      <c r="AF5" s="97"/>
      <c r="AK5" s="97"/>
    </row>
    <row r="6" spans="1:46">
      <c r="A6" s="212" t="s">
        <v>55</v>
      </c>
      <c r="B6" s="217">
        <f>D4</f>
        <v>401</v>
      </c>
      <c r="C6" s="216">
        <f>B6/B8</f>
        <v>1</v>
      </c>
      <c r="D6" s="103">
        <v>0</v>
      </c>
      <c r="E6" s="95">
        <f>B6-D6</f>
        <v>401</v>
      </c>
      <c r="F6" s="95"/>
      <c r="G6" s="95"/>
      <c r="H6" s="95"/>
      <c r="I6" s="95"/>
      <c r="J6" s="95"/>
      <c r="K6" s="95"/>
      <c r="L6" s="95"/>
      <c r="M6" s="291"/>
      <c r="N6" s="291"/>
      <c r="O6" s="32"/>
      <c r="P6" s="221" t="s">
        <v>55</v>
      </c>
      <c r="Q6" s="220">
        <f>S6*B6</f>
        <v>5682.170000000001</v>
      </c>
      <c r="R6" s="219"/>
      <c r="S6" s="218">
        <f>C8*1.09</f>
        <v>14.170000000000002</v>
      </c>
      <c r="T6" s="32" t="s">
        <v>54</v>
      </c>
      <c r="U6" s="31"/>
      <c r="AC6" s="345"/>
      <c r="AD6" s="345"/>
      <c r="AE6" s="345"/>
      <c r="AF6" s="345"/>
    </row>
    <row r="7" spans="1:46">
      <c r="A7" s="212"/>
      <c r="B7" s="217"/>
      <c r="C7" s="216">
        <f>B7/B8</f>
        <v>0</v>
      </c>
      <c r="D7" s="95">
        <f>D6*$C$8*1.09</f>
        <v>0</v>
      </c>
      <c r="E7" s="323">
        <f>E6*$C$8*1.09</f>
        <v>5682.17</v>
      </c>
      <c r="F7" s="95">
        <f>E7/1.09</f>
        <v>5213</v>
      </c>
      <c r="G7" s="95"/>
      <c r="H7" s="95"/>
      <c r="I7" s="95"/>
      <c r="J7" s="95"/>
      <c r="K7" s="95"/>
      <c r="L7" s="95"/>
      <c r="M7" s="291"/>
      <c r="N7" s="291"/>
      <c r="O7" s="31">
        <f>D7+E7</f>
        <v>5682.17</v>
      </c>
      <c r="P7" s="212"/>
      <c r="Q7" s="215"/>
      <c r="R7" s="214"/>
      <c r="S7" s="209"/>
      <c r="T7" s="32">
        <v>6439.36</v>
      </c>
      <c r="U7" s="31"/>
      <c r="AC7" s="345"/>
      <c r="AD7" s="345"/>
      <c r="AE7" s="345"/>
      <c r="AF7" s="345"/>
    </row>
    <row r="8" spans="1:46">
      <c r="A8" s="212"/>
      <c r="B8" s="213">
        <f>SUM(B6:B7)</f>
        <v>401</v>
      </c>
      <c r="C8" s="282">
        <v>13</v>
      </c>
      <c r="D8" s="31" t="s">
        <v>53</v>
      </c>
      <c r="E8" s="31">
        <f>(C8*B6)/C4</f>
        <v>13</v>
      </c>
      <c r="F8" s="31"/>
      <c r="G8" s="31"/>
      <c r="H8" s="31"/>
      <c r="I8" s="31"/>
      <c r="J8" s="31"/>
      <c r="K8" s="31"/>
      <c r="L8" s="31"/>
      <c r="M8" s="289"/>
      <c r="N8" s="289"/>
      <c r="O8" s="31">
        <f>C8*1.09</f>
        <v>14.170000000000002</v>
      </c>
      <c r="P8" s="212" t="s">
        <v>52</v>
      </c>
      <c r="Q8" s="211">
        <f>SUM(Q6:Q7)</f>
        <v>5682.170000000001</v>
      </c>
      <c r="R8" s="210"/>
      <c r="S8" s="209">
        <f>Q8/B8</f>
        <v>14.170000000000002</v>
      </c>
      <c r="T8" s="32"/>
      <c r="U8" s="34"/>
      <c r="AC8" s="345"/>
      <c r="AD8" s="345"/>
      <c r="AE8" s="345"/>
      <c r="AF8" s="345"/>
    </row>
    <row r="9" spans="1:46" ht="21.75" thickBot="1">
      <c r="A9" s="206"/>
      <c r="B9" s="208">
        <f>C4-B8</f>
        <v>0</v>
      </c>
      <c r="C9" s="207">
        <f>B9/C4</f>
        <v>0</v>
      </c>
      <c r="D9" s="32"/>
      <c r="E9" s="31"/>
      <c r="F9" s="31"/>
      <c r="G9" s="31"/>
      <c r="H9" s="31"/>
      <c r="I9" s="31"/>
      <c r="J9" s="31"/>
      <c r="K9" s="31"/>
      <c r="L9" s="31"/>
      <c r="M9" s="289"/>
      <c r="N9" s="289"/>
      <c r="O9" s="103"/>
      <c r="P9" s="206"/>
      <c r="Q9" s="205"/>
      <c r="R9" s="204"/>
      <c r="S9" s="203">
        <f>S8/1.09</f>
        <v>13</v>
      </c>
      <c r="T9" s="32"/>
      <c r="U9" s="32"/>
      <c r="AC9" s="345"/>
      <c r="AD9" s="345"/>
      <c r="AE9" s="345"/>
      <c r="AF9" s="345"/>
    </row>
    <row r="10" spans="1:46" ht="21.75" thickBot="1">
      <c r="B10" s="53">
        <f>B9/B8</f>
        <v>0</v>
      </c>
      <c r="C10" s="202"/>
      <c r="D10" s="201"/>
      <c r="E10" s="200"/>
      <c r="F10" s="200"/>
      <c r="G10" s="200"/>
      <c r="H10" s="200"/>
      <c r="I10" s="200"/>
      <c r="J10" s="200"/>
      <c r="K10" s="200"/>
      <c r="L10" s="200"/>
      <c r="M10" s="292"/>
      <c r="N10" s="292"/>
      <c r="O10" s="199"/>
      <c r="P10" s="136"/>
      <c r="Q10" s="179">
        <v>6.5</v>
      </c>
      <c r="R10" s="179"/>
      <c r="S10" s="198">
        <f>(Q10-O10)*E10</f>
        <v>0</v>
      </c>
      <c r="T10" s="197" t="s">
        <v>51</v>
      </c>
      <c r="U10" s="142"/>
      <c r="V10" s="142"/>
      <c r="AC10" s="345"/>
      <c r="AD10" s="345"/>
      <c r="AE10" s="345"/>
      <c r="AF10" s="345"/>
    </row>
    <row r="11" spans="1:46" ht="21.75" thickBot="1">
      <c r="A11" s="24" t="s">
        <v>50</v>
      </c>
      <c r="B11" s="24"/>
      <c r="C11" s="24"/>
      <c r="D11" s="196" t="e">
        <f>E10/D10</f>
        <v>#DIV/0!</v>
      </c>
      <c r="E11" s="98" t="s">
        <v>49</v>
      </c>
      <c r="F11" s="98"/>
      <c r="G11" s="98"/>
      <c r="H11" s="98"/>
      <c r="I11" s="98"/>
      <c r="J11" s="98"/>
      <c r="K11" s="98"/>
      <c r="L11" s="98"/>
      <c r="M11" s="293"/>
      <c r="N11" s="293"/>
      <c r="O11" s="195"/>
      <c r="P11" s="24"/>
      <c r="Q11" s="9">
        <f>Q13*1.09</f>
        <v>16.895</v>
      </c>
      <c r="R11" s="9"/>
      <c r="S11" s="24"/>
      <c r="T11" s="24"/>
      <c r="V11" s="97"/>
    </row>
    <row r="12" spans="1:46" s="32" customFormat="1" ht="77.25" customHeight="1">
      <c r="A12" s="194"/>
      <c r="B12" s="192"/>
      <c r="C12" s="193" t="s">
        <v>48</v>
      </c>
      <c r="D12" s="192"/>
      <c r="E12" s="191" t="s">
        <v>41</v>
      </c>
      <c r="F12" s="191"/>
      <c r="G12" s="191"/>
      <c r="H12" s="191"/>
      <c r="I12" s="191"/>
      <c r="J12" s="191"/>
      <c r="K12" s="191"/>
      <c r="L12" s="191"/>
      <c r="M12" s="294"/>
      <c r="N12" s="294"/>
      <c r="O12" s="190" t="s">
        <v>40</v>
      </c>
      <c r="P12" s="188" t="s">
        <v>37</v>
      </c>
      <c r="Q12" s="189" t="s">
        <v>47</v>
      </c>
      <c r="R12" s="189"/>
      <c r="S12" s="188" t="s">
        <v>37</v>
      </c>
      <c r="T12" s="187" t="s">
        <v>36</v>
      </c>
      <c r="U12" s="186" t="s">
        <v>35</v>
      </c>
      <c r="V12" s="185"/>
      <c r="W12" s="346"/>
      <c r="X12" s="346"/>
      <c r="Y12" s="346"/>
      <c r="Z12" s="345"/>
    </row>
    <row r="13" spans="1:46">
      <c r="A13" s="184">
        <v>1</v>
      </c>
      <c r="B13" s="144" t="s">
        <v>46</v>
      </c>
      <c r="C13" s="183" t="s">
        <v>45</v>
      </c>
      <c r="D13" s="182">
        <f>C5-D10</f>
        <v>9</v>
      </c>
      <c r="E13" s="181">
        <f>C4</f>
        <v>401</v>
      </c>
      <c r="F13" s="181"/>
      <c r="G13" s="181"/>
      <c r="H13" s="181"/>
      <c r="I13" s="181"/>
      <c r="J13" s="181"/>
      <c r="K13" s="181"/>
      <c r="L13" s="181"/>
      <c r="M13" s="295"/>
      <c r="N13" s="295"/>
      <c r="O13" s="180">
        <f>C8</f>
        <v>13</v>
      </c>
      <c r="P13" s="136">
        <f>((Q13)/O13)-1</f>
        <v>0.19230769230769229</v>
      </c>
      <c r="Q13" s="179">
        <v>15.5</v>
      </c>
      <c r="R13" s="179">
        <f>Q13*1.09</f>
        <v>16.895</v>
      </c>
      <c r="S13" s="133">
        <f>((T13)/O13)-1</f>
        <v>0.27028934368383895</v>
      </c>
      <c r="T13" s="143">
        <f>U13/1.09</f>
        <v>16.513761467889907</v>
      </c>
      <c r="U13" s="178">
        <v>18</v>
      </c>
      <c r="V13" s="142"/>
    </row>
    <row r="14" spans="1:46">
      <c r="A14" s="177"/>
      <c r="B14" s="176" t="s">
        <v>44</v>
      </c>
      <c r="C14" s="175" t="s">
        <v>43</v>
      </c>
      <c r="D14" s="174">
        <f>E13/D13</f>
        <v>44.555555555555557</v>
      </c>
      <c r="E14" s="173" t="s">
        <v>42</v>
      </c>
      <c r="F14" s="173"/>
      <c r="G14" s="173"/>
      <c r="H14" s="173"/>
      <c r="I14" s="173"/>
      <c r="J14" s="173"/>
      <c r="K14" s="173"/>
      <c r="L14" s="173"/>
      <c r="M14" s="296"/>
      <c r="N14" s="296"/>
      <c r="O14" s="324">
        <f>E13*O13</f>
        <v>5213</v>
      </c>
      <c r="P14" s="171">
        <f>O14*P13</f>
        <v>1002.4999999999999</v>
      </c>
      <c r="Q14" s="170">
        <f>E13*Q13</f>
        <v>6215.5</v>
      </c>
      <c r="R14" s="170"/>
      <c r="S14" s="169">
        <f>O14*S13</f>
        <v>1409.0183486238525</v>
      </c>
      <c r="T14" s="168">
        <f>E13*T13</f>
        <v>6622.0183486238529</v>
      </c>
      <c r="U14" s="167">
        <f>E13*U13</f>
        <v>7218</v>
      </c>
      <c r="V14" s="166"/>
    </row>
    <row r="15" spans="1:46" ht="63.75" customHeight="1" thickBot="1">
      <c r="A15" s="165"/>
      <c r="B15" s="164"/>
      <c r="C15" s="164"/>
      <c r="D15" s="164"/>
      <c r="E15" s="164" t="s">
        <v>41</v>
      </c>
      <c r="F15" s="328" t="s">
        <v>92</v>
      </c>
      <c r="G15" s="164" t="s">
        <v>87</v>
      </c>
      <c r="H15" s="329" t="s">
        <v>88</v>
      </c>
      <c r="I15" s="164" t="s">
        <v>89</v>
      </c>
      <c r="J15" s="164" t="s">
        <v>90</v>
      </c>
      <c r="K15" s="164" t="s">
        <v>91</v>
      </c>
      <c r="L15" s="160" t="s">
        <v>97</v>
      </c>
      <c r="M15" s="297"/>
      <c r="N15" s="297"/>
      <c r="O15" s="163" t="s">
        <v>40</v>
      </c>
      <c r="P15" s="162" t="s">
        <v>37</v>
      </c>
      <c r="Q15" s="160" t="s">
        <v>39</v>
      </c>
      <c r="R15" s="161" t="s">
        <v>38</v>
      </c>
      <c r="S15" s="162" t="s">
        <v>37</v>
      </c>
      <c r="T15" s="161" t="s">
        <v>36</v>
      </c>
      <c r="U15" s="160" t="s">
        <v>35</v>
      </c>
      <c r="V15" s="159" t="s">
        <v>86</v>
      </c>
      <c r="X15" s="335" t="s">
        <v>85</v>
      </c>
      <c r="Y15" s="333">
        <f>MAX(U16:U42)</f>
        <v>36</v>
      </c>
      <c r="Z15" s="343"/>
      <c r="AA15" s="344"/>
      <c r="AB15" s="344"/>
    </row>
    <row r="16" spans="1:46" ht="21.75" thickBot="1">
      <c r="A16" s="158">
        <v>1</v>
      </c>
      <c r="B16" s="157" t="str">
        <f>B13</f>
        <v>PEEX0301</v>
      </c>
      <c r="C16" s="156" t="s">
        <v>72</v>
      </c>
      <c r="D16" s="155">
        <v>1.67E-2</v>
      </c>
      <c r="E16" s="154">
        <f t="shared" ref="E16:E43" si="0">$E$13*D16</f>
        <v>6.6966999999999999</v>
      </c>
      <c r="F16" s="322">
        <f>E16*$O$13</f>
        <v>87.057099999999991</v>
      </c>
      <c r="G16" s="322">
        <f t="shared" ref="G16:G43" si="1">E16*$O$13*V16</f>
        <v>19.346022222222221</v>
      </c>
      <c r="H16" s="330">
        <f t="shared" ref="H16:H43" si="2">G16*$G$45</f>
        <v>33.61837757734758</v>
      </c>
      <c r="I16" s="322">
        <f t="shared" ref="I16:I17" si="3">IF(E16 &gt; 0, H16/E16, 0)</f>
        <v>5.0201409018393512</v>
      </c>
      <c r="J16" s="322">
        <f t="shared" ref="J16:J43" si="4">U16-I16</f>
        <v>2.9798590981606488</v>
      </c>
      <c r="K16" s="326">
        <f t="shared" ref="K16:K43" si="5">IF(I16 &gt; 0, J16/I16, 0)</f>
        <v>0.59358076923076908</v>
      </c>
      <c r="L16" s="149">
        <f>U16/1.09</f>
        <v>7.3394495412844032</v>
      </c>
      <c r="M16" s="298">
        <f>U16/$O$13</f>
        <v>0.61538461538461542</v>
      </c>
      <c r="N16" s="298">
        <f>M16/1.6</f>
        <v>0.38461538461538464</v>
      </c>
      <c r="O16" s="327">
        <f>N16*$O$13</f>
        <v>5</v>
      </c>
      <c r="P16" s="153">
        <f t="shared" ref="P16:P41" si="6">(Q16/(O16))-1</f>
        <v>0.39999999999999991</v>
      </c>
      <c r="Q16" s="152">
        <v>7</v>
      </c>
      <c r="R16" s="152">
        <f t="shared" ref="R16:R43" si="7">Q16*1.09</f>
        <v>7.6300000000000008</v>
      </c>
      <c r="S16" s="151">
        <f t="shared" ref="S16:S42" si="8">((T16)/O16)-1</f>
        <v>0.46788990825688059</v>
      </c>
      <c r="T16" s="150">
        <f t="shared" ref="T16:T42" si="9">U16/1.09</f>
        <v>7.3394495412844032</v>
      </c>
      <c r="U16" s="149">
        <v>8</v>
      </c>
      <c r="V16" s="148">
        <f>U16/$Y$15</f>
        <v>0.22222222222222221</v>
      </c>
      <c r="W16" s="337"/>
      <c r="X16" s="335" t="s">
        <v>93</v>
      </c>
      <c r="Y16" s="333">
        <f>F44</f>
        <v>5212.9999999999991</v>
      </c>
    </row>
    <row r="17" spans="1:28" ht="21.75" thickBot="1">
      <c r="A17" s="145"/>
      <c r="B17" s="144"/>
      <c r="C17" s="147" t="s">
        <v>73</v>
      </c>
      <c r="D17" s="138">
        <v>3.2599999999999997E-2</v>
      </c>
      <c r="E17" s="137">
        <f t="shared" si="0"/>
        <v>13.0726</v>
      </c>
      <c r="F17" s="322">
        <f t="shared" ref="F17:F43" si="10">E17*$O$13</f>
        <v>169.94379999999998</v>
      </c>
      <c r="G17" s="322">
        <f t="shared" si="1"/>
        <v>14.161983333333332</v>
      </c>
      <c r="H17" s="330">
        <f t="shared" si="2"/>
        <v>24.609860232519413</v>
      </c>
      <c r="I17" s="322">
        <f t="shared" si="3"/>
        <v>1.8825528381897567</v>
      </c>
      <c r="J17" s="322">
        <f t="shared" si="4"/>
        <v>1.1174471618102433</v>
      </c>
      <c r="K17" s="326">
        <f t="shared" si="5"/>
        <v>0.59358076923076908</v>
      </c>
      <c r="L17" s="149">
        <f t="shared" ref="L17:L42" si="11">U17/1.09</f>
        <v>2.7522935779816513</v>
      </c>
      <c r="M17" s="298">
        <f t="shared" ref="M17:M45" si="12">U17/$O$13</f>
        <v>0.23076923076923078</v>
      </c>
      <c r="N17" s="298">
        <f t="shared" ref="N17:N45" si="13">M17/1.6</f>
        <v>0.14423076923076922</v>
      </c>
      <c r="O17" s="327">
        <f t="shared" ref="O17:O45" si="14">N17*$O$13</f>
        <v>1.8749999999999998</v>
      </c>
      <c r="P17" s="136">
        <f t="shared" si="6"/>
        <v>6.6666666666666874E-2</v>
      </c>
      <c r="Q17" s="134">
        <v>2</v>
      </c>
      <c r="R17" s="134">
        <f t="shared" si="7"/>
        <v>2.1800000000000002</v>
      </c>
      <c r="S17" s="133">
        <f t="shared" si="8"/>
        <v>0.46788990825688082</v>
      </c>
      <c r="T17" s="143">
        <f t="shared" si="9"/>
        <v>2.7522935779816513</v>
      </c>
      <c r="U17" s="135">
        <v>3</v>
      </c>
      <c r="V17" s="148">
        <f t="shared" ref="V17:V42" si="15">U17/$Y$15</f>
        <v>8.3333333333333329E-2</v>
      </c>
      <c r="W17" s="337"/>
      <c r="X17" s="335" t="s">
        <v>94</v>
      </c>
      <c r="Y17" s="333">
        <f>U44</f>
        <v>8307.33655</v>
      </c>
    </row>
    <row r="18" spans="1:28" ht="21.75" thickBot="1">
      <c r="A18" s="145">
        <v>2</v>
      </c>
      <c r="B18" s="144" t="str">
        <f>B16</f>
        <v>PEEX0301</v>
      </c>
      <c r="C18" s="139" t="s">
        <v>32</v>
      </c>
      <c r="D18" s="138">
        <v>0</v>
      </c>
      <c r="E18" s="137">
        <f t="shared" si="0"/>
        <v>0</v>
      </c>
      <c r="F18" s="322">
        <f t="shared" si="10"/>
        <v>0</v>
      </c>
      <c r="G18" s="322">
        <f t="shared" si="1"/>
        <v>0</v>
      </c>
      <c r="H18" s="330">
        <f t="shared" si="2"/>
        <v>0</v>
      </c>
      <c r="I18" s="322">
        <f>IF(E18 &gt; 0, H18/E18, 0)</f>
        <v>0</v>
      </c>
      <c r="J18" s="322">
        <f t="shared" si="4"/>
        <v>10</v>
      </c>
      <c r="K18" s="326">
        <f t="shared" si="5"/>
        <v>0</v>
      </c>
      <c r="L18" s="149">
        <f t="shared" si="11"/>
        <v>9.1743119266055047</v>
      </c>
      <c r="M18" s="298">
        <f t="shared" si="12"/>
        <v>0.76923076923076927</v>
      </c>
      <c r="N18" s="298">
        <f t="shared" si="13"/>
        <v>0.48076923076923078</v>
      </c>
      <c r="O18" s="327">
        <f t="shared" si="14"/>
        <v>6.25</v>
      </c>
      <c r="P18" s="136">
        <f t="shared" si="6"/>
        <v>0.28000000000000003</v>
      </c>
      <c r="Q18" s="134">
        <v>8</v>
      </c>
      <c r="R18" s="134">
        <f t="shared" si="7"/>
        <v>8.7200000000000006</v>
      </c>
      <c r="S18" s="133">
        <f t="shared" si="8"/>
        <v>0.46788990825688082</v>
      </c>
      <c r="T18" s="143">
        <f t="shared" si="9"/>
        <v>9.1743119266055047</v>
      </c>
      <c r="U18" s="135">
        <v>10</v>
      </c>
      <c r="V18" s="148">
        <f t="shared" si="15"/>
        <v>0.27777777777777779</v>
      </c>
      <c r="X18" s="335" t="s">
        <v>95</v>
      </c>
      <c r="Y18" s="333">
        <f>Y17-Y16</f>
        <v>3094.3365500000009</v>
      </c>
    </row>
    <row r="19" spans="1:28" ht="21.75" thickBot="1">
      <c r="A19" s="145">
        <v>3</v>
      </c>
      <c r="B19" s="144" t="str">
        <f>B18</f>
        <v>PEEX0301</v>
      </c>
      <c r="C19" s="139" t="s">
        <v>74</v>
      </c>
      <c r="D19" s="138">
        <v>2.7300000000000001E-2</v>
      </c>
      <c r="E19" s="137">
        <f t="shared" si="0"/>
        <v>10.9473</v>
      </c>
      <c r="F19" s="322">
        <f t="shared" si="10"/>
        <v>142.31489999999999</v>
      </c>
      <c r="G19" s="322">
        <f t="shared" si="1"/>
        <v>75.110641666666666</v>
      </c>
      <c r="H19" s="330">
        <f t="shared" si="2"/>
        <v>130.5228476749266</v>
      </c>
      <c r="I19" s="322">
        <f t="shared" ref="I19:I43" si="16">IF(E19 &gt; 0, H19/E19, 0)</f>
        <v>11.922834641868461</v>
      </c>
      <c r="J19" s="322">
        <f t="shared" si="4"/>
        <v>7.0771653581315395</v>
      </c>
      <c r="K19" s="326">
        <f t="shared" si="5"/>
        <v>0.59358076923076886</v>
      </c>
      <c r="L19" s="149">
        <f t="shared" si="11"/>
        <v>17.431192660550458</v>
      </c>
      <c r="M19" s="298">
        <f t="shared" si="12"/>
        <v>1.4615384615384615</v>
      </c>
      <c r="N19" s="298">
        <f t="shared" si="13"/>
        <v>0.91346153846153832</v>
      </c>
      <c r="O19" s="327">
        <f t="shared" si="14"/>
        <v>11.874999999999998</v>
      </c>
      <c r="P19" s="136">
        <f t="shared" si="6"/>
        <v>0.34736842105263177</v>
      </c>
      <c r="Q19" s="134">
        <v>16</v>
      </c>
      <c r="R19" s="134">
        <f t="shared" si="7"/>
        <v>17.440000000000001</v>
      </c>
      <c r="S19" s="133">
        <f t="shared" si="8"/>
        <v>0.46788990825688082</v>
      </c>
      <c r="T19" s="143">
        <f t="shared" si="9"/>
        <v>17.431192660550458</v>
      </c>
      <c r="U19" s="135">
        <v>19</v>
      </c>
      <c r="V19" s="148">
        <f t="shared" si="15"/>
        <v>0.52777777777777779</v>
      </c>
      <c r="X19" s="335" t="s">
        <v>96</v>
      </c>
      <c r="Y19" s="334">
        <f>Y18/Y16</f>
        <v>0.59358076923076952</v>
      </c>
      <c r="AB19" s="333"/>
    </row>
    <row r="20" spans="1:28" ht="21.75" thickBot="1">
      <c r="A20" s="145"/>
      <c r="B20" s="144"/>
      <c r="C20" s="139" t="s">
        <v>30</v>
      </c>
      <c r="D20" s="138">
        <v>1.15E-2</v>
      </c>
      <c r="E20" s="137">
        <f t="shared" si="0"/>
        <v>4.6114999999999995</v>
      </c>
      <c r="F20" s="322">
        <f t="shared" si="10"/>
        <v>59.949499999999993</v>
      </c>
      <c r="G20" s="322">
        <f t="shared" si="1"/>
        <v>33.305277777777775</v>
      </c>
      <c r="H20" s="330">
        <f t="shared" si="2"/>
        <v>57.875949422080417</v>
      </c>
      <c r="I20" s="322">
        <f t="shared" si="16"/>
        <v>12.550352254598378</v>
      </c>
      <c r="J20" s="322">
        <f t="shared" si="4"/>
        <v>7.4496477454016219</v>
      </c>
      <c r="K20" s="326">
        <f t="shared" si="5"/>
        <v>0.59358076923076908</v>
      </c>
      <c r="L20" s="149">
        <f t="shared" si="11"/>
        <v>18.348623853211009</v>
      </c>
      <c r="M20" s="298">
        <f t="shared" si="12"/>
        <v>1.5384615384615385</v>
      </c>
      <c r="N20" s="298">
        <f t="shared" si="13"/>
        <v>0.96153846153846156</v>
      </c>
      <c r="O20" s="327">
        <f t="shared" si="14"/>
        <v>12.5</v>
      </c>
      <c r="P20" s="136">
        <f t="shared" si="6"/>
        <v>4.0000000000000036E-2</v>
      </c>
      <c r="Q20" s="134">
        <v>13</v>
      </c>
      <c r="R20" s="134">
        <f t="shared" si="7"/>
        <v>14.170000000000002</v>
      </c>
      <c r="S20" s="133">
        <f t="shared" si="8"/>
        <v>0.46788990825688082</v>
      </c>
      <c r="T20" s="143">
        <f t="shared" si="9"/>
        <v>18.348623853211009</v>
      </c>
      <c r="U20" s="135">
        <v>20</v>
      </c>
      <c r="V20" s="148">
        <f t="shared" si="15"/>
        <v>0.55555555555555558</v>
      </c>
      <c r="X20" s="32"/>
      <c r="Y20" s="32"/>
      <c r="AB20" s="333"/>
    </row>
    <row r="21" spans="1:28" ht="21.75" thickBot="1">
      <c r="A21" s="145">
        <v>4</v>
      </c>
      <c r="B21" s="144" t="str">
        <f>B19</f>
        <v>PEEX0301</v>
      </c>
      <c r="C21" s="139" t="s">
        <v>75</v>
      </c>
      <c r="D21" s="138">
        <v>0.1198</v>
      </c>
      <c r="E21" s="137">
        <f t="shared" si="0"/>
        <v>48.0398</v>
      </c>
      <c r="F21" s="322">
        <f t="shared" si="10"/>
        <v>624.51739999999995</v>
      </c>
      <c r="G21" s="322">
        <f t="shared" si="1"/>
        <v>433.69263888888884</v>
      </c>
      <c r="H21" s="330">
        <f t="shared" si="2"/>
        <v>753.64551530056883</v>
      </c>
      <c r="I21" s="322">
        <f t="shared" si="16"/>
        <v>15.68794031824797</v>
      </c>
      <c r="J21" s="322">
        <f t="shared" si="4"/>
        <v>9.3120596817520305</v>
      </c>
      <c r="K21" s="326">
        <f t="shared" si="5"/>
        <v>0.59358076923076941</v>
      </c>
      <c r="L21" s="149">
        <f t="shared" si="11"/>
        <v>22.935779816513758</v>
      </c>
      <c r="M21" s="298">
        <f t="shared" si="12"/>
        <v>1.9230769230769231</v>
      </c>
      <c r="N21" s="298">
        <f t="shared" si="13"/>
        <v>1.2019230769230769</v>
      </c>
      <c r="O21" s="327">
        <f t="shared" si="14"/>
        <v>15.625</v>
      </c>
      <c r="P21" s="136">
        <f t="shared" si="6"/>
        <v>0.31200000000000006</v>
      </c>
      <c r="Q21" s="134">
        <v>20.5</v>
      </c>
      <c r="R21" s="134">
        <f t="shared" si="7"/>
        <v>22.345000000000002</v>
      </c>
      <c r="S21" s="133">
        <f t="shared" si="8"/>
        <v>0.46788990825688059</v>
      </c>
      <c r="T21" s="143">
        <f t="shared" si="9"/>
        <v>22.935779816513758</v>
      </c>
      <c r="U21" s="135">
        <v>25</v>
      </c>
      <c r="V21" s="148">
        <f t="shared" si="15"/>
        <v>0.69444444444444442</v>
      </c>
    </row>
    <row r="22" spans="1:28" ht="21.75" thickBot="1">
      <c r="A22" s="145">
        <v>5</v>
      </c>
      <c r="B22" s="144" t="str">
        <f>B21</f>
        <v>PEEX0301</v>
      </c>
      <c r="C22" s="139" t="s">
        <v>76</v>
      </c>
      <c r="D22" s="138">
        <v>5.3699999999999998E-2</v>
      </c>
      <c r="E22" s="137">
        <f t="shared" si="0"/>
        <v>21.5337</v>
      </c>
      <c r="F22" s="322">
        <f t="shared" si="10"/>
        <v>279.93810000000002</v>
      </c>
      <c r="G22" s="322">
        <f t="shared" si="1"/>
        <v>194.40145833333335</v>
      </c>
      <c r="H22" s="330">
        <f t="shared" si="2"/>
        <v>337.81940043105641</v>
      </c>
      <c r="I22" s="322">
        <f t="shared" si="16"/>
        <v>15.687940318247975</v>
      </c>
      <c r="J22" s="322">
        <f t="shared" si="4"/>
        <v>9.3120596817520251</v>
      </c>
      <c r="K22" s="326">
        <f t="shared" si="5"/>
        <v>0.59358076923076886</v>
      </c>
      <c r="L22" s="149">
        <f t="shared" si="11"/>
        <v>22.935779816513758</v>
      </c>
      <c r="M22" s="298">
        <f t="shared" si="12"/>
        <v>1.9230769230769231</v>
      </c>
      <c r="N22" s="298">
        <f t="shared" si="13"/>
        <v>1.2019230769230769</v>
      </c>
      <c r="O22" s="327">
        <f t="shared" si="14"/>
        <v>15.625</v>
      </c>
      <c r="P22" s="136">
        <f t="shared" si="6"/>
        <v>0.31200000000000006</v>
      </c>
      <c r="Q22" s="134">
        <v>20.5</v>
      </c>
      <c r="R22" s="134">
        <f t="shared" si="7"/>
        <v>22.345000000000002</v>
      </c>
      <c r="S22" s="133">
        <f t="shared" si="8"/>
        <v>0.46788990825688059</v>
      </c>
      <c r="T22" s="143">
        <f t="shared" si="9"/>
        <v>22.935779816513758</v>
      </c>
      <c r="U22" s="135">
        <v>25</v>
      </c>
      <c r="V22" s="148">
        <f t="shared" si="15"/>
        <v>0.69444444444444442</v>
      </c>
    </row>
    <row r="23" spans="1:28" ht="21.75" thickBot="1">
      <c r="A23" s="145"/>
      <c r="B23" s="144"/>
      <c r="C23" s="139" t="s">
        <v>27</v>
      </c>
      <c r="D23" s="138">
        <v>0</v>
      </c>
      <c r="E23" s="137">
        <f t="shared" si="0"/>
        <v>0</v>
      </c>
      <c r="F23" s="322">
        <f t="shared" si="10"/>
        <v>0</v>
      </c>
      <c r="G23" s="322">
        <f t="shared" si="1"/>
        <v>0</v>
      </c>
      <c r="H23" s="330">
        <f t="shared" si="2"/>
        <v>0</v>
      </c>
      <c r="I23" s="322">
        <f t="shared" si="16"/>
        <v>0</v>
      </c>
      <c r="J23" s="322">
        <f t="shared" si="4"/>
        <v>24.5</v>
      </c>
      <c r="K23" s="326">
        <f t="shared" si="5"/>
        <v>0</v>
      </c>
      <c r="L23" s="149">
        <f t="shared" si="11"/>
        <v>22.477064220183486</v>
      </c>
      <c r="M23" s="298">
        <f t="shared" si="12"/>
        <v>1.8846153846153846</v>
      </c>
      <c r="N23" s="298">
        <f t="shared" si="13"/>
        <v>1.1778846153846152</v>
      </c>
      <c r="O23" s="327">
        <f t="shared" si="14"/>
        <v>15.312499999999998</v>
      </c>
      <c r="P23" s="136">
        <f t="shared" si="6"/>
        <v>0.14285714285714302</v>
      </c>
      <c r="Q23" s="134">
        <v>17.5</v>
      </c>
      <c r="R23" s="134">
        <f t="shared" si="7"/>
        <v>19.075000000000003</v>
      </c>
      <c r="S23" s="133">
        <f t="shared" si="8"/>
        <v>0.46788990825688082</v>
      </c>
      <c r="T23" s="143">
        <f t="shared" si="9"/>
        <v>22.477064220183486</v>
      </c>
      <c r="U23" s="135">
        <v>24.5</v>
      </c>
      <c r="V23" s="148">
        <f t="shared" si="15"/>
        <v>0.68055555555555558</v>
      </c>
      <c r="AB23" s="333"/>
    </row>
    <row r="24" spans="1:28" ht="21.75" thickBot="1">
      <c r="A24" s="145"/>
      <c r="B24" s="144"/>
      <c r="C24" s="139" t="s">
        <v>26</v>
      </c>
      <c r="D24" s="138">
        <v>0</v>
      </c>
      <c r="E24" s="137">
        <f t="shared" si="0"/>
        <v>0</v>
      </c>
      <c r="F24" s="322">
        <f t="shared" si="10"/>
        <v>0</v>
      </c>
      <c r="G24" s="322">
        <f t="shared" si="1"/>
        <v>0</v>
      </c>
      <c r="H24" s="330">
        <f t="shared" si="2"/>
        <v>0</v>
      </c>
      <c r="I24" s="322">
        <f t="shared" si="16"/>
        <v>0</v>
      </c>
      <c r="J24" s="322">
        <f t="shared" si="4"/>
        <v>22</v>
      </c>
      <c r="K24" s="326">
        <f t="shared" si="5"/>
        <v>0</v>
      </c>
      <c r="L24" s="149">
        <f t="shared" si="11"/>
        <v>20.183486238532108</v>
      </c>
      <c r="M24" s="298">
        <f t="shared" si="12"/>
        <v>1.6923076923076923</v>
      </c>
      <c r="N24" s="298">
        <f t="shared" si="13"/>
        <v>1.0576923076923077</v>
      </c>
      <c r="O24" s="327">
        <f t="shared" si="14"/>
        <v>13.75</v>
      </c>
      <c r="P24" s="136">
        <f t="shared" si="6"/>
        <v>9.0909090909090828E-2</v>
      </c>
      <c r="Q24" s="134">
        <v>15</v>
      </c>
      <c r="R24" s="134">
        <f t="shared" si="7"/>
        <v>16.350000000000001</v>
      </c>
      <c r="S24" s="133">
        <f t="shared" si="8"/>
        <v>0.46788990825688059</v>
      </c>
      <c r="T24" s="143">
        <f t="shared" si="9"/>
        <v>20.183486238532108</v>
      </c>
      <c r="U24" s="135">
        <v>22</v>
      </c>
      <c r="V24" s="148">
        <f t="shared" si="15"/>
        <v>0.61111111111111116</v>
      </c>
    </row>
    <row r="25" spans="1:28" ht="21.75" thickBot="1">
      <c r="A25" s="145">
        <v>6</v>
      </c>
      <c r="B25" s="144" t="str">
        <f>B22</f>
        <v>PEEX0301</v>
      </c>
      <c r="C25" s="139" t="s">
        <v>77</v>
      </c>
      <c r="D25" s="138">
        <v>7.0499999999999993E-2</v>
      </c>
      <c r="E25" s="137">
        <f t="shared" si="0"/>
        <v>28.270499999999998</v>
      </c>
      <c r="F25" s="322">
        <f t="shared" si="10"/>
        <v>367.51649999999995</v>
      </c>
      <c r="G25" s="322">
        <f t="shared" si="1"/>
        <v>336.89012499999995</v>
      </c>
      <c r="H25" s="330">
        <f t="shared" si="2"/>
        <v>585.42781013247861</v>
      </c>
      <c r="I25" s="322">
        <f t="shared" si="16"/>
        <v>20.708081220087323</v>
      </c>
      <c r="J25" s="322">
        <f t="shared" si="4"/>
        <v>12.291918779912677</v>
      </c>
      <c r="K25" s="326">
        <f t="shared" si="5"/>
        <v>0.59358076923076919</v>
      </c>
      <c r="L25" s="149">
        <f t="shared" si="11"/>
        <v>30.275229357798164</v>
      </c>
      <c r="M25" s="298">
        <f t="shared" si="12"/>
        <v>2.5384615384615383</v>
      </c>
      <c r="N25" s="298">
        <f t="shared" si="13"/>
        <v>1.5865384615384615</v>
      </c>
      <c r="O25" s="327">
        <f t="shared" si="14"/>
        <v>20.625</v>
      </c>
      <c r="P25" s="136">
        <f t="shared" si="6"/>
        <v>0.35757575757575766</v>
      </c>
      <c r="Q25" s="134">
        <v>28</v>
      </c>
      <c r="R25" s="134">
        <f t="shared" si="7"/>
        <v>30.520000000000003</v>
      </c>
      <c r="S25" s="133">
        <f t="shared" si="8"/>
        <v>0.46788990825688059</v>
      </c>
      <c r="T25" s="143">
        <f t="shared" si="9"/>
        <v>30.275229357798164</v>
      </c>
      <c r="U25" s="135">
        <v>33</v>
      </c>
      <c r="V25" s="148">
        <f t="shared" si="15"/>
        <v>0.91666666666666663</v>
      </c>
    </row>
    <row r="26" spans="1:28" ht="21.75" thickBot="1">
      <c r="A26" s="145">
        <v>7</v>
      </c>
      <c r="B26" s="144" t="str">
        <f>B25</f>
        <v>PEEX0301</v>
      </c>
      <c r="C26" s="139" t="s">
        <v>78</v>
      </c>
      <c r="D26" s="138">
        <v>7.22E-2</v>
      </c>
      <c r="E26" s="137">
        <f t="shared" si="0"/>
        <v>28.952200000000001</v>
      </c>
      <c r="F26" s="322">
        <f t="shared" si="10"/>
        <v>376.37860000000001</v>
      </c>
      <c r="G26" s="322">
        <f t="shared" si="1"/>
        <v>345.01371666666665</v>
      </c>
      <c r="H26" s="330">
        <f t="shared" si="2"/>
        <v>599.54450910021217</v>
      </c>
      <c r="I26" s="322">
        <f t="shared" si="16"/>
        <v>20.708081220087323</v>
      </c>
      <c r="J26" s="322">
        <f t="shared" si="4"/>
        <v>12.291918779912677</v>
      </c>
      <c r="K26" s="326">
        <f t="shared" si="5"/>
        <v>0.59358076923076919</v>
      </c>
      <c r="L26" s="149">
        <f t="shared" si="11"/>
        <v>30.275229357798164</v>
      </c>
      <c r="M26" s="298">
        <f t="shared" si="12"/>
        <v>2.5384615384615383</v>
      </c>
      <c r="N26" s="298">
        <f t="shared" si="13"/>
        <v>1.5865384615384615</v>
      </c>
      <c r="O26" s="327">
        <f t="shared" si="14"/>
        <v>20.625</v>
      </c>
      <c r="P26" s="136">
        <f t="shared" si="6"/>
        <v>0.35757575757575766</v>
      </c>
      <c r="Q26" s="134">
        <v>28</v>
      </c>
      <c r="R26" s="134">
        <f t="shared" si="7"/>
        <v>30.520000000000003</v>
      </c>
      <c r="S26" s="133">
        <f t="shared" si="8"/>
        <v>0.46788990825688059</v>
      </c>
      <c r="T26" s="143">
        <f t="shared" si="9"/>
        <v>30.275229357798164</v>
      </c>
      <c r="U26" s="135">
        <v>33</v>
      </c>
      <c r="V26" s="148">
        <f t="shared" si="15"/>
        <v>0.91666666666666663</v>
      </c>
    </row>
    <row r="27" spans="1:28" ht="21.75" thickBot="1">
      <c r="A27" s="145">
        <v>8</v>
      </c>
      <c r="B27" s="144" t="str">
        <f>B26</f>
        <v>PEEX0301</v>
      </c>
      <c r="C27" s="139" t="s">
        <v>23</v>
      </c>
      <c r="D27" s="138">
        <v>0</v>
      </c>
      <c r="E27" s="137">
        <f t="shared" si="0"/>
        <v>0</v>
      </c>
      <c r="F27" s="322">
        <f t="shared" si="10"/>
        <v>0</v>
      </c>
      <c r="G27" s="322">
        <f t="shared" si="1"/>
        <v>0</v>
      </c>
      <c r="H27" s="330">
        <f t="shared" si="2"/>
        <v>0</v>
      </c>
      <c r="I27" s="322">
        <f t="shared" si="16"/>
        <v>0</v>
      </c>
      <c r="J27" s="322">
        <f t="shared" si="4"/>
        <v>25.5</v>
      </c>
      <c r="K27" s="326">
        <f t="shared" si="5"/>
        <v>0</v>
      </c>
      <c r="L27" s="149">
        <f t="shared" si="11"/>
        <v>23.394495412844034</v>
      </c>
      <c r="M27" s="298">
        <f t="shared" si="12"/>
        <v>1.9615384615384615</v>
      </c>
      <c r="N27" s="298">
        <f t="shared" si="13"/>
        <v>1.2259615384615383</v>
      </c>
      <c r="O27" s="327">
        <f t="shared" si="14"/>
        <v>15.937499999999998</v>
      </c>
      <c r="P27" s="136">
        <f t="shared" si="6"/>
        <v>6.0392156862745017E-2</v>
      </c>
      <c r="Q27" s="134">
        <v>16.899999999999999</v>
      </c>
      <c r="R27" s="134">
        <f t="shared" si="7"/>
        <v>18.420999999999999</v>
      </c>
      <c r="S27" s="133">
        <f t="shared" si="8"/>
        <v>0.46788990825688082</v>
      </c>
      <c r="T27" s="143">
        <f t="shared" si="9"/>
        <v>23.394495412844034</v>
      </c>
      <c r="U27" s="135">
        <v>25.5</v>
      </c>
      <c r="V27" s="148">
        <f t="shared" si="15"/>
        <v>0.70833333333333337</v>
      </c>
    </row>
    <row r="28" spans="1:28" ht="21.75" thickBot="1">
      <c r="A28" s="145">
        <v>9</v>
      </c>
      <c r="B28" s="144" t="str">
        <f>B27</f>
        <v>PEEX0301</v>
      </c>
      <c r="C28" s="139" t="s">
        <v>79</v>
      </c>
      <c r="D28" s="138">
        <v>0.1797</v>
      </c>
      <c r="E28" s="137">
        <f t="shared" si="0"/>
        <v>72.059700000000007</v>
      </c>
      <c r="F28" s="322">
        <f t="shared" si="10"/>
        <v>936.77610000000004</v>
      </c>
      <c r="G28" s="322">
        <f t="shared" si="1"/>
        <v>637.52817916666675</v>
      </c>
      <c r="H28" s="330">
        <f t="shared" si="2"/>
        <v>1107.8589074918366</v>
      </c>
      <c r="I28" s="322">
        <f t="shared" si="16"/>
        <v>15.374181511883014</v>
      </c>
      <c r="J28" s="322">
        <f t="shared" si="4"/>
        <v>9.1258184881169857</v>
      </c>
      <c r="K28" s="326">
        <f t="shared" si="5"/>
        <v>0.59358076923076897</v>
      </c>
      <c r="L28" s="149">
        <f t="shared" si="11"/>
        <v>22.477064220183486</v>
      </c>
      <c r="M28" s="298">
        <f t="shared" si="12"/>
        <v>1.8846153846153846</v>
      </c>
      <c r="N28" s="298">
        <f t="shared" si="13"/>
        <v>1.1778846153846152</v>
      </c>
      <c r="O28" s="327">
        <f t="shared" si="14"/>
        <v>15.312499999999998</v>
      </c>
      <c r="P28" s="136">
        <f t="shared" si="6"/>
        <v>0.30612244897959195</v>
      </c>
      <c r="Q28" s="134">
        <v>20</v>
      </c>
      <c r="R28" s="134">
        <f t="shared" si="7"/>
        <v>21.8</v>
      </c>
      <c r="S28" s="133">
        <f t="shared" si="8"/>
        <v>0.46788990825688082</v>
      </c>
      <c r="T28" s="143">
        <f t="shared" si="9"/>
        <v>22.477064220183486</v>
      </c>
      <c r="U28" s="135">
        <v>24.5</v>
      </c>
      <c r="V28" s="148">
        <f t="shared" si="15"/>
        <v>0.68055555555555558</v>
      </c>
    </row>
    <row r="29" spans="1:28" ht="21.75" thickBot="1">
      <c r="A29" s="145"/>
      <c r="B29" s="144"/>
      <c r="C29" s="139" t="s">
        <v>21</v>
      </c>
      <c r="D29" s="138">
        <v>0</v>
      </c>
      <c r="E29" s="137">
        <f t="shared" si="0"/>
        <v>0</v>
      </c>
      <c r="F29" s="322">
        <f t="shared" si="10"/>
        <v>0</v>
      </c>
      <c r="G29" s="322">
        <f t="shared" si="1"/>
        <v>0</v>
      </c>
      <c r="H29" s="330">
        <f t="shared" si="2"/>
        <v>0</v>
      </c>
      <c r="I29" s="322">
        <f t="shared" si="16"/>
        <v>0</v>
      </c>
      <c r="J29" s="322">
        <f t="shared" si="4"/>
        <v>26</v>
      </c>
      <c r="K29" s="326">
        <f t="shared" si="5"/>
        <v>0</v>
      </c>
      <c r="L29" s="149">
        <f t="shared" si="11"/>
        <v>23.853211009174309</v>
      </c>
      <c r="M29" s="298">
        <f t="shared" si="12"/>
        <v>2</v>
      </c>
      <c r="N29" s="298">
        <f t="shared" si="13"/>
        <v>1.25</v>
      </c>
      <c r="O29" s="327">
        <f t="shared" si="14"/>
        <v>16.25</v>
      </c>
      <c r="P29" s="136">
        <f t="shared" si="6"/>
        <v>0.29230769230769238</v>
      </c>
      <c r="Q29" s="134">
        <v>21</v>
      </c>
      <c r="R29" s="134">
        <f t="shared" si="7"/>
        <v>22.89</v>
      </c>
      <c r="S29" s="133">
        <f t="shared" si="8"/>
        <v>0.46788990825688059</v>
      </c>
      <c r="T29" s="143">
        <f t="shared" si="9"/>
        <v>23.853211009174309</v>
      </c>
      <c r="U29" s="135">
        <v>26</v>
      </c>
      <c r="V29" s="148">
        <f t="shared" si="15"/>
        <v>0.72222222222222221</v>
      </c>
    </row>
    <row r="30" spans="1:28" ht="21.75" thickBot="1">
      <c r="A30" s="145"/>
      <c r="B30" s="144"/>
      <c r="C30" s="139" t="s">
        <v>20</v>
      </c>
      <c r="D30" s="138">
        <v>0</v>
      </c>
      <c r="E30" s="137">
        <f t="shared" si="0"/>
        <v>0</v>
      </c>
      <c r="F30" s="322">
        <f t="shared" si="10"/>
        <v>0</v>
      </c>
      <c r="G30" s="322">
        <f t="shared" si="1"/>
        <v>0</v>
      </c>
      <c r="H30" s="330">
        <f t="shared" si="2"/>
        <v>0</v>
      </c>
      <c r="I30" s="322">
        <f t="shared" si="16"/>
        <v>0</v>
      </c>
      <c r="J30" s="322">
        <f t="shared" si="4"/>
        <v>27.5</v>
      </c>
      <c r="K30" s="326">
        <f t="shared" si="5"/>
        <v>0</v>
      </c>
      <c r="L30" s="149">
        <f t="shared" si="11"/>
        <v>25.229357798165136</v>
      </c>
      <c r="M30" s="298">
        <f t="shared" si="12"/>
        <v>2.1153846153846154</v>
      </c>
      <c r="N30" s="298">
        <f t="shared" si="13"/>
        <v>1.3221153846153846</v>
      </c>
      <c r="O30" s="327">
        <f t="shared" si="14"/>
        <v>17.1875</v>
      </c>
      <c r="P30" s="136">
        <f t="shared" si="6"/>
        <v>0.25090909090909097</v>
      </c>
      <c r="Q30" s="134">
        <v>21.5</v>
      </c>
      <c r="R30" s="134">
        <f t="shared" si="7"/>
        <v>23.435000000000002</v>
      </c>
      <c r="S30" s="133">
        <f t="shared" si="8"/>
        <v>0.46788990825688059</v>
      </c>
      <c r="T30" s="143">
        <f t="shared" si="9"/>
        <v>25.229357798165136</v>
      </c>
      <c r="U30" s="135">
        <v>27.5</v>
      </c>
      <c r="V30" s="148">
        <f t="shared" si="15"/>
        <v>0.76388888888888884</v>
      </c>
    </row>
    <row r="31" spans="1:28" ht="21.75" thickBot="1">
      <c r="A31" s="145">
        <v>10</v>
      </c>
      <c r="B31" s="144" t="str">
        <f>B28</f>
        <v>PEEX0301</v>
      </c>
      <c r="C31" s="139" t="s">
        <v>80</v>
      </c>
      <c r="D31" s="138">
        <v>0.2326</v>
      </c>
      <c r="E31" s="137">
        <f t="shared" si="0"/>
        <v>93.272599999999997</v>
      </c>
      <c r="F31" s="322">
        <f t="shared" si="10"/>
        <v>1212.5437999999999</v>
      </c>
      <c r="G31" s="322">
        <f t="shared" si="1"/>
        <v>639.95367222222217</v>
      </c>
      <c r="H31" s="330">
        <f t="shared" si="2"/>
        <v>1112.0737864171399</v>
      </c>
      <c r="I31" s="322">
        <f t="shared" si="16"/>
        <v>11.922834641868459</v>
      </c>
      <c r="J31" s="322">
        <f t="shared" si="4"/>
        <v>7.0771653581315412</v>
      </c>
      <c r="K31" s="326">
        <f t="shared" si="5"/>
        <v>0.59358076923076908</v>
      </c>
      <c r="L31" s="149">
        <f t="shared" si="11"/>
        <v>17.431192660550458</v>
      </c>
      <c r="M31" s="298">
        <f t="shared" si="12"/>
        <v>1.4615384615384615</v>
      </c>
      <c r="N31" s="298">
        <f t="shared" si="13"/>
        <v>0.91346153846153832</v>
      </c>
      <c r="O31" s="327">
        <f t="shared" si="14"/>
        <v>11.874999999999998</v>
      </c>
      <c r="P31" s="136">
        <f t="shared" si="6"/>
        <v>0.5157894736842108</v>
      </c>
      <c r="Q31" s="134">
        <v>18</v>
      </c>
      <c r="R31" s="134">
        <f t="shared" si="7"/>
        <v>19.62</v>
      </c>
      <c r="S31" s="133">
        <f t="shared" si="8"/>
        <v>0.46788990825688082</v>
      </c>
      <c r="T31" s="143">
        <f t="shared" si="9"/>
        <v>17.431192660550458</v>
      </c>
      <c r="U31" s="135">
        <v>19</v>
      </c>
      <c r="V31" s="148">
        <f t="shared" si="15"/>
        <v>0.52777777777777779</v>
      </c>
    </row>
    <row r="32" spans="1:28" ht="21.75" thickBot="1">
      <c r="A32" s="145"/>
      <c r="B32" s="144"/>
      <c r="C32" s="139" t="s">
        <v>18</v>
      </c>
      <c r="D32" s="138">
        <v>0</v>
      </c>
      <c r="E32" s="137">
        <f t="shared" si="0"/>
        <v>0</v>
      </c>
      <c r="F32" s="322">
        <f t="shared" si="10"/>
        <v>0</v>
      </c>
      <c r="G32" s="322">
        <f t="shared" si="1"/>
        <v>0</v>
      </c>
      <c r="H32" s="330">
        <f t="shared" si="2"/>
        <v>0</v>
      </c>
      <c r="I32" s="322">
        <f t="shared" si="16"/>
        <v>0</v>
      </c>
      <c r="J32" s="322">
        <f t="shared" si="4"/>
        <v>24.5</v>
      </c>
      <c r="K32" s="326">
        <f t="shared" si="5"/>
        <v>0</v>
      </c>
      <c r="L32" s="149">
        <f t="shared" si="11"/>
        <v>22.477064220183486</v>
      </c>
      <c r="M32" s="298">
        <f t="shared" si="12"/>
        <v>1.8846153846153846</v>
      </c>
      <c r="N32" s="298">
        <f t="shared" si="13"/>
        <v>1.1778846153846152</v>
      </c>
      <c r="O32" s="327">
        <f t="shared" si="14"/>
        <v>15.312499999999998</v>
      </c>
      <c r="P32" s="136">
        <f t="shared" si="6"/>
        <v>0.17551020408163276</v>
      </c>
      <c r="Q32" s="134">
        <v>18</v>
      </c>
      <c r="R32" s="134">
        <f t="shared" si="7"/>
        <v>19.62</v>
      </c>
      <c r="S32" s="133">
        <f t="shared" si="8"/>
        <v>0.46788990825688082</v>
      </c>
      <c r="T32" s="143">
        <f t="shared" si="9"/>
        <v>22.477064220183486</v>
      </c>
      <c r="U32" s="135">
        <v>24.5</v>
      </c>
      <c r="V32" s="148">
        <f t="shared" si="15"/>
        <v>0.68055555555555558</v>
      </c>
    </row>
    <row r="33" spans="1:22" ht="21.75" thickBot="1">
      <c r="A33" s="145">
        <v>11</v>
      </c>
      <c r="B33" s="144" t="str">
        <f>B31</f>
        <v>PEEX0301</v>
      </c>
      <c r="C33" s="146" t="s">
        <v>81</v>
      </c>
      <c r="D33" s="138">
        <v>4.58E-2</v>
      </c>
      <c r="E33" s="137">
        <f t="shared" si="0"/>
        <v>18.3658</v>
      </c>
      <c r="F33" s="322">
        <f t="shared" si="10"/>
        <v>238.75540000000001</v>
      </c>
      <c r="G33" s="322">
        <f t="shared" si="1"/>
        <v>53.056755555555554</v>
      </c>
      <c r="H33" s="330">
        <f t="shared" si="2"/>
        <v>92.198903775001156</v>
      </c>
      <c r="I33" s="322">
        <f t="shared" si="16"/>
        <v>5.0201409018393512</v>
      </c>
      <c r="J33" s="322">
        <f t="shared" si="4"/>
        <v>2.9798590981606488</v>
      </c>
      <c r="K33" s="326">
        <f t="shared" si="5"/>
        <v>0.59358076923076908</v>
      </c>
      <c r="L33" s="149">
        <f t="shared" si="11"/>
        <v>7.3394495412844032</v>
      </c>
      <c r="M33" s="298">
        <f t="shared" si="12"/>
        <v>0.61538461538461542</v>
      </c>
      <c r="N33" s="298">
        <f t="shared" si="13"/>
        <v>0.38461538461538464</v>
      </c>
      <c r="O33" s="327">
        <f>N33*$O$13</f>
        <v>5</v>
      </c>
      <c r="P33" s="136">
        <f t="shared" si="6"/>
        <v>0.35999999999999988</v>
      </c>
      <c r="Q33" s="134">
        <v>6.8</v>
      </c>
      <c r="R33" s="134">
        <f t="shared" si="7"/>
        <v>7.4119999999999999</v>
      </c>
      <c r="S33" s="133">
        <f t="shared" si="8"/>
        <v>0.46788990825688059</v>
      </c>
      <c r="T33" s="143">
        <f t="shared" si="9"/>
        <v>7.3394495412844032</v>
      </c>
      <c r="U33" s="135">
        <v>8</v>
      </c>
      <c r="V33" s="148">
        <f t="shared" si="15"/>
        <v>0.22222222222222221</v>
      </c>
    </row>
    <row r="34" spans="1:22" ht="21.75" thickBot="1">
      <c r="A34" s="145"/>
      <c r="B34" s="144"/>
      <c r="C34" s="146" t="s">
        <v>82</v>
      </c>
      <c r="D34" s="138">
        <v>3.61E-2</v>
      </c>
      <c r="E34" s="137">
        <f t="shared" si="0"/>
        <v>14.476100000000001</v>
      </c>
      <c r="F34" s="322">
        <f t="shared" si="10"/>
        <v>188.1893</v>
      </c>
      <c r="G34" s="322">
        <f t="shared" si="1"/>
        <v>62.729766666666663</v>
      </c>
      <c r="H34" s="330">
        <f t="shared" si="2"/>
        <v>109.00809256367495</v>
      </c>
      <c r="I34" s="322">
        <f t="shared" si="16"/>
        <v>7.5302113527590269</v>
      </c>
      <c r="J34" s="322">
        <f t="shared" si="4"/>
        <v>4.4697886472409731</v>
      </c>
      <c r="K34" s="326">
        <f t="shared" si="5"/>
        <v>0.59358076923076908</v>
      </c>
      <c r="L34" s="149">
        <f t="shared" si="11"/>
        <v>11.009174311926605</v>
      </c>
      <c r="M34" s="298">
        <f t="shared" si="12"/>
        <v>0.92307692307692313</v>
      </c>
      <c r="N34" s="298">
        <f t="shared" si="13"/>
        <v>0.57692307692307687</v>
      </c>
      <c r="O34" s="327">
        <f t="shared" si="14"/>
        <v>7.4999999999999991</v>
      </c>
      <c r="P34" s="136">
        <f t="shared" si="6"/>
        <v>0.33333333333333348</v>
      </c>
      <c r="Q34" s="134">
        <v>10</v>
      </c>
      <c r="R34" s="134">
        <f t="shared" si="7"/>
        <v>10.9</v>
      </c>
      <c r="S34" s="133">
        <f t="shared" si="8"/>
        <v>0.46788990825688082</v>
      </c>
      <c r="T34" s="143">
        <f t="shared" si="9"/>
        <v>11.009174311926605</v>
      </c>
      <c r="U34" s="135">
        <v>12</v>
      </c>
      <c r="V34" s="148">
        <f t="shared" si="15"/>
        <v>0.33333333333333331</v>
      </c>
    </row>
    <row r="35" spans="1:22" ht="21.75" thickBot="1">
      <c r="A35" s="145"/>
      <c r="B35" s="144"/>
      <c r="C35" s="146" t="s">
        <v>15</v>
      </c>
      <c r="D35" s="138">
        <v>0</v>
      </c>
      <c r="E35" s="137">
        <f t="shared" si="0"/>
        <v>0</v>
      </c>
      <c r="F35" s="322">
        <f t="shared" si="10"/>
        <v>0</v>
      </c>
      <c r="G35" s="322">
        <f t="shared" si="1"/>
        <v>0</v>
      </c>
      <c r="H35" s="330">
        <f t="shared" si="2"/>
        <v>0</v>
      </c>
      <c r="I35" s="322">
        <f t="shared" si="16"/>
        <v>0</v>
      </c>
      <c r="J35" s="322">
        <f t="shared" si="4"/>
        <v>15</v>
      </c>
      <c r="K35" s="326">
        <f t="shared" si="5"/>
        <v>0</v>
      </c>
      <c r="L35" s="149">
        <f t="shared" si="11"/>
        <v>13.761467889908255</v>
      </c>
      <c r="M35" s="298">
        <f t="shared" si="12"/>
        <v>1.1538461538461537</v>
      </c>
      <c r="N35" s="298">
        <f t="shared" si="13"/>
        <v>0.72115384615384603</v>
      </c>
      <c r="O35" s="327">
        <f t="shared" si="14"/>
        <v>9.3749999999999982</v>
      </c>
      <c r="P35" s="136">
        <f t="shared" si="6"/>
        <v>0.28000000000000025</v>
      </c>
      <c r="Q35" s="134">
        <v>12</v>
      </c>
      <c r="R35" s="134">
        <f t="shared" si="7"/>
        <v>13.080000000000002</v>
      </c>
      <c r="S35" s="133">
        <f t="shared" si="8"/>
        <v>0.46788990825688082</v>
      </c>
      <c r="T35" s="143">
        <f t="shared" si="9"/>
        <v>13.761467889908255</v>
      </c>
      <c r="U35" s="135">
        <v>15</v>
      </c>
      <c r="V35" s="148">
        <f t="shared" si="15"/>
        <v>0.41666666666666669</v>
      </c>
    </row>
    <row r="36" spans="1:22" ht="21.75" thickBot="1">
      <c r="A36" s="145">
        <v>12</v>
      </c>
      <c r="B36" s="144" t="str">
        <f>B33</f>
        <v>PEEX0301</v>
      </c>
      <c r="C36" s="146" t="s">
        <v>83</v>
      </c>
      <c r="D36" s="138">
        <v>3.5200000000000002E-2</v>
      </c>
      <c r="E36" s="137">
        <f t="shared" si="0"/>
        <v>14.115200000000002</v>
      </c>
      <c r="F36" s="322">
        <f t="shared" si="10"/>
        <v>183.49760000000003</v>
      </c>
      <c r="G36" s="322">
        <f t="shared" si="1"/>
        <v>71.360177777777793</v>
      </c>
      <c r="H36" s="330">
        <f t="shared" si="2"/>
        <v>124.00551250087494</v>
      </c>
      <c r="I36" s="322">
        <f t="shared" si="16"/>
        <v>8.7852465782188656</v>
      </c>
      <c r="J36" s="322">
        <f t="shared" si="4"/>
        <v>5.2147534217811344</v>
      </c>
      <c r="K36" s="326">
        <f t="shared" si="5"/>
        <v>0.59358076923076886</v>
      </c>
      <c r="L36" s="149">
        <f t="shared" si="11"/>
        <v>12.844036697247706</v>
      </c>
      <c r="M36" s="298">
        <f t="shared" si="12"/>
        <v>1.0769230769230769</v>
      </c>
      <c r="N36" s="298">
        <f t="shared" si="13"/>
        <v>0.67307692307692302</v>
      </c>
      <c r="O36" s="327">
        <f t="shared" si="14"/>
        <v>8.75</v>
      </c>
      <c r="P36" s="136">
        <f t="shared" si="6"/>
        <v>0.25714285714285712</v>
      </c>
      <c r="Q36" s="134">
        <v>11</v>
      </c>
      <c r="R36" s="134">
        <f t="shared" si="7"/>
        <v>11.99</v>
      </c>
      <c r="S36" s="133">
        <f t="shared" si="8"/>
        <v>0.46788990825688059</v>
      </c>
      <c r="T36" s="143">
        <f t="shared" si="9"/>
        <v>12.844036697247706</v>
      </c>
      <c r="U36" s="135">
        <v>14</v>
      </c>
      <c r="V36" s="148">
        <f t="shared" si="15"/>
        <v>0.3888888888888889</v>
      </c>
    </row>
    <row r="37" spans="1:22" ht="21.75" thickBot="1">
      <c r="A37" s="145">
        <v>13</v>
      </c>
      <c r="B37" s="144" t="str">
        <f>B36</f>
        <v>PEEX0301</v>
      </c>
      <c r="C37" s="146" t="s">
        <v>13</v>
      </c>
      <c r="D37" s="138">
        <v>8.8000000000000005E-3</v>
      </c>
      <c r="E37" s="137">
        <f t="shared" si="0"/>
        <v>3.5288000000000004</v>
      </c>
      <c r="F37" s="322">
        <f t="shared" si="10"/>
        <v>45.874400000000009</v>
      </c>
      <c r="G37" s="322">
        <f t="shared" si="1"/>
        <v>15.291466666666668</v>
      </c>
      <c r="H37" s="330">
        <f t="shared" si="2"/>
        <v>26.572609821616059</v>
      </c>
      <c r="I37" s="322">
        <f t="shared" si="16"/>
        <v>7.5302113527590278</v>
      </c>
      <c r="J37" s="322">
        <f t="shared" si="4"/>
        <v>4.4697886472409722</v>
      </c>
      <c r="K37" s="326">
        <f t="shared" si="5"/>
        <v>0.59358076923076886</v>
      </c>
      <c r="L37" s="149">
        <f t="shared" si="11"/>
        <v>11.009174311926605</v>
      </c>
      <c r="M37" s="298">
        <f t="shared" si="12"/>
        <v>0.92307692307692313</v>
      </c>
      <c r="N37" s="298">
        <f t="shared" si="13"/>
        <v>0.57692307692307687</v>
      </c>
      <c r="O37" s="327">
        <f t="shared" si="14"/>
        <v>7.4999999999999991</v>
      </c>
      <c r="P37" s="136">
        <f t="shared" si="6"/>
        <v>0.46666666666666679</v>
      </c>
      <c r="Q37" s="134">
        <v>11</v>
      </c>
      <c r="R37" s="134">
        <f t="shared" si="7"/>
        <v>11.99</v>
      </c>
      <c r="S37" s="133">
        <f t="shared" si="8"/>
        <v>0.46788990825688082</v>
      </c>
      <c r="T37" s="143">
        <f t="shared" si="9"/>
        <v>11.009174311926605</v>
      </c>
      <c r="U37" s="135">
        <v>12</v>
      </c>
      <c r="V37" s="148">
        <f t="shared" si="15"/>
        <v>0.33333333333333331</v>
      </c>
    </row>
    <row r="38" spans="1:22" ht="21.75" thickBot="1">
      <c r="A38" s="145">
        <v>14</v>
      </c>
      <c r="B38" s="144" t="str">
        <f>B37</f>
        <v>PEEX0301</v>
      </c>
      <c r="C38" s="139" t="s">
        <v>84</v>
      </c>
      <c r="D38" s="138">
        <v>1.06E-2</v>
      </c>
      <c r="E38" s="137">
        <f t="shared" si="0"/>
        <v>4.2506000000000004</v>
      </c>
      <c r="F38" s="322">
        <f t="shared" si="10"/>
        <v>55.257800000000003</v>
      </c>
      <c r="G38" s="322">
        <f t="shared" si="1"/>
        <v>55.257800000000003</v>
      </c>
      <c r="H38" s="330">
        <f t="shared" si="2"/>
        <v>96.02374912811257</v>
      </c>
      <c r="I38" s="322">
        <f t="shared" si="16"/>
        <v>22.590634058277082</v>
      </c>
      <c r="J38" s="322">
        <f t="shared" si="4"/>
        <v>13.409365941722918</v>
      </c>
      <c r="K38" s="326">
        <f t="shared" si="5"/>
        <v>0.59358076923076897</v>
      </c>
      <c r="L38" s="149">
        <f t="shared" si="11"/>
        <v>33.027522935779814</v>
      </c>
      <c r="M38" s="298">
        <f t="shared" si="12"/>
        <v>2.7692307692307692</v>
      </c>
      <c r="N38" s="298">
        <f t="shared" si="13"/>
        <v>1.7307692307692306</v>
      </c>
      <c r="O38" s="327">
        <f t="shared" si="14"/>
        <v>22.499999999999996</v>
      </c>
      <c r="P38" s="136">
        <f t="shared" si="6"/>
        <v>0.33333333333333348</v>
      </c>
      <c r="Q38" s="134">
        <v>30</v>
      </c>
      <c r="R38" s="134">
        <f t="shared" si="7"/>
        <v>32.700000000000003</v>
      </c>
      <c r="S38" s="133">
        <f t="shared" si="8"/>
        <v>0.46788990825688082</v>
      </c>
      <c r="T38" s="143">
        <f t="shared" si="9"/>
        <v>33.027522935779814</v>
      </c>
      <c r="U38" s="135">
        <v>36</v>
      </c>
      <c r="V38" s="148">
        <f t="shared" si="15"/>
        <v>1</v>
      </c>
    </row>
    <row r="39" spans="1:22" ht="21.75" thickBot="1">
      <c r="A39" s="145">
        <v>15</v>
      </c>
      <c r="B39" s="144" t="str">
        <f>B38</f>
        <v>PEEX0301</v>
      </c>
      <c r="C39" s="139" t="s">
        <v>11</v>
      </c>
      <c r="D39" s="138">
        <v>0</v>
      </c>
      <c r="E39" s="137">
        <f t="shared" si="0"/>
        <v>0</v>
      </c>
      <c r="F39" s="322">
        <f t="shared" si="10"/>
        <v>0</v>
      </c>
      <c r="G39" s="322">
        <f t="shared" si="1"/>
        <v>0</v>
      </c>
      <c r="H39" s="330">
        <f t="shared" si="2"/>
        <v>0</v>
      </c>
      <c r="I39" s="322">
        <f t="shared" si="16"/>
        <v>0</v>
      </c>
      <c r="J39" s="322">
        <f t="shared" si="4"/>
        <v>26</v>
      </c>
      <c r="K39" s="326">
        <f t="shared" si="5"/>
        <v>0</v>
      </c>
      <c r="L39" s="149">
        <f t="shared" si="11"/>
        <v>23.853211009174309</v>
      </c>
      <c r="M39" s="298">
        <f t="shared" si="12"/>
        <v>2</v>
      </c>
      <c r="N39" s="298">
        <f t="shared" si="13"/>
        <v>1.25</v>
      </c>
      <c r="O39" s="327">
        <f t="shared" si="14"/>
        <v>16.25</v>
      </c>
      <c r="P39" s="136">
        <f t="shared" si="6"/>
        <v>0.1692307692307693</v>
      </c>
      <c r="Q39" s="134">
        <v>19</v>
      </c>
      <c r="R39" s="134">
        <f t="shared" si="7"/>
        <v>20.71</v>
      </c>
      <c r="S39" s="133">
        <f t="shared" si="8"/>
        <v>0.46788990825688059</v>
      </c>
      <c r="T39" s="143">
        <f t="shared" si="9"/>
        <v>23.853211009174309</v>
      </c>
      <c r="U39" s="135">
        <v>26</v>
      </c>
      <c r="V39" s="148">
        <f t="shared" si="15"/>
        <v>0.72222222222222221</v>
      </c>
    </row>
    <row r="40" spans="1:22" ht="21.75" thickBot="1">
      <c r="A40" s="145"/>
      <c r="B40" s="144"/>
      <c r="C40" s="139" t="s">
        <v>10</v>
      </c>
      <c r="D40" s="138">
        <v>0</v>
      </c>
      <c r="E40" s="137">
        <f t="shared" si="0"/>
        <v>0</v>
      </c>
      <c r="F40" s="322">
        <f t="shared" si="10"/>
        <v>0</v>
      </c>
      <c r="G40" s="322">
        <f t="shared" si="1"/>
        <v>0</v>
      </c>
      <c r="H40" s="330">
        <f t="shared" si="2"/>
        <v>0</v>
      </c>
      <c r="I40" s="322">
        <f t="shared" si="16"/>
        <v>0</v>
      </c>
      <c r="J40" s="322">
        <f t="shared" si="4"/>
        <v>24.5</v>
      </c>
      <c r="K40" s="326">
        <f t="shared" si="5"/>
        <v>0</v>
      </c>
      <c r="L40" s="149">
        <f t="shared" si="11"/>
        <v>22.477064220183486</v>
      </c>
      <c r="M40" s="298">
        <f t="shared" si="12"/>
        <v>1.8846153846153846</v>
      </c>
      <c r="N40" s="298">
        <f t="shared" si="13"/>
        <v>1.1778846153846152</v>
      </c>
      <c r="O40" s="327">
        <f t="shared" si="14"/>
        <v>15.312499999999998</v>
      </c>
      <c r="P40" s="136">
        <f t="shared" si="6"/>
        <v>0.17551020408163276</v>
      </c>
      <c r="Q40" s="134">
        <v>18</v>
      </c>
      <c r="R40" s="134">
        <f t="shared" si="7"/>
        <v>19.62</v>
      </c>
      <c r="S40" s="133">
        <f t="shared" si="8"/>
        <v>0.46788990825688082</v>
      </c>
      <c r="T40" s="143">
        <f t="shared" si="9"/>
        <v>22.477064220183486</v>
      </c>
      <c r="U40" s="135">
        <v>24.5</v>
      </c>
      <c r="V40" s="148">
        <f t="shared" si="15"/>
        <v>0.68055555555555558</v>
      </c>
    </row>
    <row r="41" spans="1:22" ht="21.75" thickBot="1">
      <c r="A41" s="145"/>
      <c r="B41" s="144"/>
      <c r="C41" s="139" t="s">
        <v>9</v>
      </c>
      <c r="D41" s="138">
        <v>0</v>
      </c>
      <c r="E41" s="137">
        <f t="shared" si="0"/>
        <v>0</v>
      </c>
      <c r="F41" s="322">
        <f t="shared" si="10"/>
        <v>0</v>
      </c>
      <c r="G41" s="322">
        <f t="shared" si="1"/>
        <v>0</v>
      </c>
      <c r="H41" s="330">
        <f t="shared" si="2"/>
        <v>0</v>
      </c>
      <c r="I41" s="322">
        <f t="shared" si="16"/>
        <v>0</v>
      </c>
      <c r="J41" s="322">
        <f t="shared" si="4"/>
        <v>25</v>
      </c>
      <c r="K41" s="326">
        <f t="shared" si="5"/>
        <v>0</v>
      </c>
      <c r="L41" s="149">
        <f t="shared" si="11"/>
        <v>22.935779816513758</v>
      </c>
      <c r="M41" s="298">
        <f t="shared" si="12"/>
        <v>1.9230769230769231</v>
      </c>
      <c r="N41" s="298">
        <f t="shared" si="13"/>
        <v>1.2019230769230769</v>
      </c>
      <c r="O41" s="327">
        <f t="shared" si="14"/>
        <v>15.625</v>
      </c>
      <c r="P41" s="136">
        <f t="shared" si="6"/>
        <v>0.18399999999999994</v>
      </c>
      <c r="Q41" s="134">
        <v>18.5</v>
      </c>
      <c r="R41" s="134">
        <f t="shared" si="7"/>
        <v>20.165000000000003</v>
      </c>
      <c r="S41" s="133">
        <f t="shared" si="8"/>
        <v>0.46788990825688059</v>
      </c>
      <c r="T41" s="143">
        <f t="shared" si="9"/>
        <v>22.935779816513758</v>
      </c>
      <c r="U41" s="135">
        <v>25</v>
      </c>
      <c r="V41" s="148">
        <f t="shared" si="15"/>
        <v>0.69444444444444442</v>
      </c>
    </row>
    <row r="42" spans="1:22" ht="21.75" thickBot="1">
      <c r="A42" s="145"/>
      <c r="B42" s="144"/>
      <c r="C42" s="139" t="s">
        <v>8</v>
      </c>
      <c r="D42" s="138">
        <v>4.41E-2</v>
      </c>
      <c r="E42" s="137">
        <f t="shared" si="0"/>
        <v>17.684100000000001</v>
      </c>
      <c r="F42" s="322">
        <f t="shared" si="10"/>
        <v>229.89330000000001</v>
      </c>
      <c r="G42" s="322">
        <f t="shared" si="1"/>
        <v>12.771850000000001</v>
      </c>
      <c r="H42" s="330">
        <f t="shared" si="2"/>
        <v>22.194168430554321</v>
      </c>
      <c r="I42" s="322">
        <f t="shared" si="16"/>
        <v>1.2550352254598378</v>
      </c>
      <c r="J42" s="322">
        <f t="shared" si="4"/>
        <v>0.74496477454016219</v>
      </c>
      <c r="K42" s="326">
        <f t="shared" si="5"/>
        <v>0.59358076923076908</v>
      </c>
      <c r="L42" s="149">
        <f t="shared" si="11"/>
        <v>1.8348623853211008</v>
      </c>
      <c r="M42" s="298">
        <f t="shared" si="12"/>
        <v>0.15384615384615385</v>
      </c>
      <c r="N42" s="298">
        <f t="shared" si="13"/>
        <v>9.6153846153846159E-2</v>
      </c>
      <c r="O42" s="327">
        <f t="shared" si="14"/>
        <v>1.25</v>
      </c>
      <c r="P42" s="136">
        <f>(Q42/(O42))-1</f>
        <v>0.43999999999999995</v>
      </c>
      <c r="Q42" s="134">
        <v>1.8</v>
      </c>
      <c r="R42" s="134">
        <f t="shared" si="7"/>
        <v>1.9620000000000002</v>
      </c>
      <c r="S42" s="133">
        <f t="shared" si="8"/>
        <v>0.46788990825688059</v>
      </c>
      <c r="T42" s="143">
        <f t="shared" si="9"/>
        <v>1.8348623853211008</v>
      </c>
      <c r="U42" s="135">
        <v>2</v>
      </c>
      <c r="V42" s="148">
        <f t="shared" si="15"/>
        <v>5.5555555555555552E-2</v>
      </c>
    </row>
    <row r="43" spans="1:22" ht="21.75" thickBot="1">
      <c r="A43" s="141"/>
      <c r="B43" s="140"/>
      <c r="C43" s="139" t="s">
        <v>7</v>
      </c>
      <c r="D43" s="138">
        <v>2.8E-3</v>
      </c>
      <c r="E43" s="137">
        <f t="shared" si="0"/>
        <v>1.1228</v>
      </c>
      <c r="F43" s="322">
        <f t="shared" si="10"/>
        <v>14.596400000000001</v>
      </c>
      <c r="G43" s="322">
        <f t="shared" si="1"/>
        <v>0</v>
      </c>
      <c r="H43" s="330">
        <f t="shared" si="2"/>
        <v>0</v>
      </c>
      <c r="I43" s="322">
        <f t="shared" si="16"/>
        <v>0</v>
      </c>
      <c r="J43" s="322">
        <f t="shared" si="4"/>
        <v>0</v>
      </c>
      <c r="K43" s="326">
        <f t="shared" si="5"/>
        <v>0</v>
      </c>
      <c r="L43" s="326"/>
      <c r="M43" s="298">
        <f t="shared" si="12"/>
        <v>0</v>
      </c>
      <c r="N43" s="298">
        <f t="shared" si="13"/>
        <v>0</v>
      </c>
      <c r="O43" s="327">
        <f t="shared" si="14"/>
        <v>0</v>
      </c>
      <c r="P43" s="136"/>
      <c r="Q43" s="135">
        <v>0</v>
      </c>
      <c r="R43" s="134">
        <f t="shared" si="7"/>
        <v>0</v>
      </c>
      <c r="S43" s="133"/>
      <c r="T43" s="132"/>
      <c r="U43" s="131"/>
      <c r="V43" s="130"/>
    </row>
    <row r="44" spans="1:22" ht="31.5" thickBot="1">
      <c r="A44" s="129"/>
      <c r="B44" s="128"/>
      <c r="C44" s="127"/>
      <c r="D44" s="278">
        <f>SUM(D16:D43)</f>
        <v>1</v>
      </c>
      <c r="E44" s="126">
        <f>SUM(E16:E43)</f>
        <v>401</v>
      </c>
      <c r="F44" s="325">
        <f>SUM(F16:F43)</f>
        <v>5212.9999999999991</v>
      </c>
      <c r="G44" s="325">
        <f>SUM(G16:G43)</f>
        <v>2999.8715319444436</v>
      </c>
      <c r="H44" s="325">
        <f>SUM(H16:H43)</f>
        <v>5212.9999999999991</v>
      </c>
      <c r="I44" s="285"/>
      <c r="J44" s="285"/>
      <c r="K44" s="285"/>
      <c r="L44" s="285"/>
      <c r="M44" s="298">
        <f>U44/$O$13</f>
        <v>639.02588846153844</v>
      </c>
      <c r="N44" s="298">
        <f t="shared" si="13"/>
        <v>399.3911802884615</v>
      </c>
      <c r="O44" s="152">
        <f>SUMPRODUCT(E16:E43,O16:O43)</f>
        <v>5192.08534375</v>
      </c>
      <c r="P44" s="125"/>
      <c r="Q44" s="124">
        <f>SUMPRODUCT($E$16:$E$43,$Q$16:$Q$43)</f>
        <v>7079.8033699999996</v>
      </c>
      <c r="R44" s="124">
        <f>SUMPRODUCT($E$16:$E$43,$R$16:$R$43)</f>
        <v>7716.9856733000015</v>
      </c>
      <c r="S44" s="123"/>
      <c r="T44" s="122">
        <f>SUMPRODUCT(E16:E43,T16:T43)</f>
        <v>7621.4096788990828</v>
      </c>
      <c r="U44" s="121">
        <f>SUMPRODUCT(E16:E43,U16:U43)</f>
        <v>8307.33655</v>
      </c>
      <c r="V44" s="120"/>
    </row>
    <row r="45" spans="1:22">
      <c r="A45" s="65"/>
      <c r="B45" s="65"/>
      <c r="C45" s="65" t="s">
        <v>6</v>
      </c>
      <c r="D45" s="114" t="s">
        <v>5</v>
      </c>
      <c r="E45" s="119">
        <f>O45/E44</f>
        <v>0</v>
      </c>
      <c r="F45" s="119"/>
      <c r="G45" s="331">
        <f>F44/G44</f>
        <v>1.7377410814059293</v>
      </c>
      <c r="I45" s="119"/>
      <c r="J45" s="119"/>
      <c r="K45" s="119"/>
      <c r="L45" s="119"/>
      <c r="M45" s="298">
        <f t="shared" si="12"/>
        <v>0</v>
      </c>
      <c r="N45" s="298">
        <f t="shared" si="13"/>
        <v>0</v>
      </c>
      <c r="O45" s="152">
        <f t="shared" si="14"/>
        <v>0</v>
      </c>
      <c r="P45" s="118"/>
      <c r="Q45" s="118"/>
      <c r="R45" s="118"/>
      <c r="S45" s="49"/>
      <c r="T45" s="65"/>
      <c r="U45" s="332"/>
    </row>
    <row r="46" spans="1:22">
      <c r="A46" s="65"/>
      <c r="C46" s="56" t="s">
        <v>4</v>
      </c>
      <c r="D46" s="32"/>
      <c r="E46" s="40"/>
      <c r="F46" s="40"/>
      <c r="G46" s="40"/>
      <c r="H46" s="40"/>
      <c r="I46" s="40"/>
      <c r="J46" s="40"/>
      <c r="K46" s="40"/>
      <c r="L46" s="40"/>
      <c r="M46" s="299"/>
      <c r="N46" s="299"/>
      <c r="O46" s="9"/>
      <c r="P46" s="40"/>
      <c r="Q46" s="40">
        <f>Q44-O44</f>
        <v>1887.7180262499996</v>
      </c>
      <c r="R46" s="40"/>
      <c r="S46" s="116">
        <f>Q46/$E$13</f>
        <v>4.707526249999999</v>
      </c>
      <c r="T46" s="40">
        <f>(T44)-(O44)</f>
        <v>2429.3243351490828</v>
      </c>
      <c r="U46" s="116">
        <f>T46/$E$13</f>
        <v>6.0581654243119276</v>
      </c>
      <c r="V46" s="44"/>
    </row>
    <row r="47" spans="1:22">
      <c r="C47" s="56" t="s">
        <v>3</v>
      </c>
      <c r="D47" s="32"/>
      <c r="E47" s="61"/>
      <c r="F47" s="61"/>
      <c r="G47" s="61"/>
      <c r="H47" s="61"/>
      <c r="I47" s="61"/>
      <c r="J47" s="61"/>
      <c r="K47" s="61"/>
      <c r="L47" s="61"/>
      <c r="M47" s="300"/>
      <c r="N47" s="300"/>
      <c r="O47" s="32"/>
      <c r="P47" s="61"/>
      <c r="Q47" s="61">
        <f>Q44/O44-1</f>
        <v>0.36357607806319092</v>
      </c>
      <c r="R47" s="61"/>
      <c r="S47" s="59"/>
      <c r="T47" s="61">
        <f>(T44)/(O44)-1</f>
        <v>0.46788990825688082</v>
      </c>
      <c r="U47" s="61"/>
      <c r="V47" s="44"/>
    </row>
    <row r="48" spans="1:22">
      <c r="C48" s="56" t="s">
        <v>2</v>
      </c>
      <c r="D48" s="117"/>
      <c r="E48" s="45"/>
      <c r="F48" s="45"/>
      <c r="G48" s="45"/>
      <c r="H48" s="45"/>
      <c r="I48" s="45"/>
      <c r="J48" s="45"/>
      <c r="K48" s="45"/>
      <c r="L48" s="45"/>
      <c r="M48" s="301"/>
      <c r="N48" s="301"/>
      <c r="O48" s="32"/>
      <c r="P48" s="117">
        <f>[1]KOLTSEGEK!B27</f>
        <v>7.9729729729729728</v>
      </c>
      <c r="Q48" s="45">
        <f>E13*P48</f>
        <v>3197.1621621621621</v>
      </c>
      <c r="R48" s="45"/>
      <c r="S48" s="117">
        <f>[1]KOLTSEGEK!B37</f>
        <v>0.52100000000000002</v>
      </c>
      <c r="T48" s="59">
        <f>(S48+P48)*E13</f>
        <v>3406.0831621621619</v>
      </c>
      <c r="U48" s="59"/>
      <c r="V48" s="44"/>
    </row>
    <row r="49" spans="1:42">
      <c r="C49" s="56" t="s">
        <v>1</v>
      </c>
      <c r="D49" s="32"/>
      <c r="E49" s="40"/>
      <c r="F49" s="40"/>
      <c r="G49" s="40"/>
      <c r="H49" s="40"/>
      <c r="I49" s="40"/>
      <c r="J49" s="40"/>
      <c r="K49" s="40"/>
      <c r="L49" s="40"/>
      <c r="M49" s="299"/>
      <c r="N49" s="299"/>
      <c r="O49" s="32"/>
      <c r="P49" s="71"/>
      <c r="Q49" s="40">
        <f>Q46-Q48</f>
        <v>-1309.4441359121624</v>
      </c>
      <c r="R49" s="40"/>
      <c r="S49" s="116">
        <f>Q49/$E$13</f>
        <v>-3.2654467229729738</v>
      </c>
      <c r="T49" s="40">
        <f>T46-T48</f>
        <v>-976.7588270130791</v>
      </c>
      <c r="U49" s="116">
        <f>T49/$E$13</f>
        <v>-2.4358075486610451</v>
      </c>
      <c r="V49" s="44"/>
    </row>
    <row r="50" spans="1:42">
      <c r="C50" s="56" t="s">
        <v>0</v>
      </c>
      <c r="D50" s="32"/>
      <c r="E50" s="35"/>
      <c r="F50" s="35"/>
      <c r="G50" s="35"/>
      <c r="H50" s="35"/>
      <c r="I50" s="35"/>
      <c r="J50" s="35"/>
      <c r="K50" s="35"/>
      <c r="L50" s="35"/>
      <c r="M50" s="302"/>
      <c r="N50" s="302"/>
      <c r="O50" s="32"/>
      <c r="P50" s="59"/>
      <c r="Q50" s="35">
        <f>Q49/O44</f>
        <v>-0.25220004087344455</v>
      </c>
      <c r="R50" s="35"/>
      <c r="S50" s="59"/>
      <c r="T50" s="35">
        <f>T49/(O44)</f>
        <v>-0.18812457083142087</v>
      </c>
      <c r="U50" s="35"/>
      <c r="V50" s="39"/>
    </row>
    <row r="51" spans="1:42">
      <c r="A51" s="24"/>
      <c r="B51" s="65"/>
      <c r="C51" s="24"/>
      <c r="D51" s="16"/>
      <c r="E51" s="115"/>
      <c r="F51" s="115"/>
      <c r="G51" s="115"/>
      <c r="H51" s="115"/>
      <c r="I51" s="115"/>
      <c r="J51" s="115"/>
      <c r="K51" s="115"/>
      <c r="L51" s="115"/>
      <c r="M51" s="303"/>
      <c r="N51" s="303"/>
      <c r="O51" s="24"/>
      <c r="P51" s="47"/>
      <c r="Q51" s="47"/>
      <c r="R51" s="47"/>
      <c r="S51" s="47"/>
      <c r="T51" s="25"/>
    </row>
    <row r="52" spans="1:42">
      <c r="A52" s="24"/>
      <c r="B52" s="65"/>
      <c r="C52" s="24"/>
      <c r="D52" s="114"/>
      <c r="E52" s="113"/>
      <c r="F52" s="113"/>
      <c r="G52" s="113"/>
      <c r="H52" s="113"/>
      <c r="I52" s="113"/>
      <c r="J52" s="113"/>
      <c r="K52" s="113"/>
      <c r="L52" s="113"/>
      <c r="M52" s="304"/>
      <c r="N52" s="304"/>
      <c r="O52" s="112"/>
      <c r="P52" s="66"/>
      <c r="Q52" s="66"/>
      <c r="R52" s="66"/>
      <c r="S52" s="66"/>
      <c r="T52" s="65"/>
    </row>
    <row r="53" spans="1:42">
      <c r="A53" s="98"/>
      <c r="B53" s="111"/>
      <c r="C53" s="345"/>
      <c r="D53" s="110"/>
      <c r="E53" s="109"/>
      <c r="F53" s="109"/>
      <c r="G53" s="109"/>
      <c r="H53" s="109"/>
      <c r="I53" s="109"/>
      <c r="J53" s="109"/>
      <c r="K53" s="109"/>
      <c r="L53" s="109"/>
      <c r="M53" s="305"/>
      <c r="N53" s="305"/>
      <c r="O53" s="108"/>
      <c r="P53" s="12"/>
      <c r="Q53" s="78"/>
      <c r="R53" s="78"/>
      <c r="S53" s="16"/>
      <c r="T53" s="77"/>
    </row>
    <row r="54" spans="1:42">
      <c r="A54" s="73"/>
      <c r="B54" s="80"/>
      <c r="C54" s="345"/>
      <c r="D54" s="74"/>
      <c r="E54" s="2"/>
      <c r="F54" s="2"/>
      <c r="G54" s="2"/>
      <c r="H54" s="2"/>
      <c r="I54" s="2"/>
      <c r="J54" s="2"/>
      <c r="K54" s="2"/>
      <c r="L54" s="2"/>
      <c r="M54" s="306"/>
      <c r="N54" s="306"/>
      <c r="O54" s="79"/>
      <c r="P54" s="12"/>
      <c r="Q54" s="78"/>
      <c r="R54" s="78"/>
      <c r="S54" s="16"/>
      <c r="T54" s="15"/>
      <c r="U54" s="77"/>
      <c r="V54" s="15"/>
    </row>
    <row r="55" spans="1:42" ht="21.75" thickBot="1">
      <c r="C55" s="97"/>
      <c r="D55" s="105"/>
      <c r="E55" s="345"/>
      <c r="F55" s="345"/>
      <c r="G55" s="345"/>
      <c r="H55" s="345"/>
      <c r="I55" s="345"/>
      <c r="J55" s="345"/>
      <c r="K55" s="345"/>
      <c r="L55" s="345"/>
      <c r="M55" s="307"/>
      <c r="N55" s="307"/>
      <c r="U55" s="32"/>
      <c r="V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</row>
    <row r="56" spans="1:42">
      <c r="C56" s="156" t="s">
        <v>72</v>
      </c>
      <c r="D56" s="32"/>
      <c r="E56" s="32"/>
      <c r="F56" s="32"/>
      <c r="G56" s="32"/>
      <c r="H56" s="32"/>
      <c r="I56" s="32"/>
      <c r="J56" s="32"/>
      <c r="K56" s="32"/>
      <c r="L56" s="32"/>
      <c r="M56" s="288"/>
      <c r="N56" s="288"/>
      <c r="O56" s="92"/>
      <c r="P56" s="32"/>
      <c r="Q56" s="32"/>
      <c r="R56" s="32"/>
      <c r="S56" s="32"/>
      <c r="T56" s="32"/>
      <c r="U56" s="31"/>
      <c r="V56" s="31"/>
      <c r="Z56" s="340"/>
      <c r="AA56" s="199"/>
      <c r="AB56" s="199"/>
      <c r="AC56" s="104"/>
      <c r="AD56" s="104"/>
      <c r="AE56" s="104"/>
      <c r="AF56" s="104"/>
      <c r="AG56" s="104"/>
      <c r="AH56" s="104"/>
    </row>
    <row r="57" spans="1:42">
      <c r="C57" s="147" t="s">
        <v>73</v>
      </c>
      <c r="D57" s="31"/>
      <c r="E57" s="31"/>
      <c r="F57" s="31"/>
      <c r="G57" s="31"/>
      <c r="H57" s="31"/>
      <c r="I57" s="31"/>
      <c r="J57" s="31"/>
      <c r="K57" s="31"/>
      <c r="L57" s="31"/>
      <c r="M57" s="289"/>
      <c r="N57" s="289"/>
      <c r="O57" s="92"/>
      <c r="P57" s="31"/>
      <c r="Q57" s="31"/>
      <c r="R57" s="31"/>
      <c r="S57" s="31"/>
      <c r="T57" s="31"/>
      <c r="U57" s="32"/>
      <c r="V57" s="32"/>
      <c r="AF57" s="97"/>
      <c r="AK57" s="97"/>
    </row>
    <row r="58" spans="1:42">
      <c r="A58" s="95"/>
      <c r="B58" s="100"/>
      <c r="C58" s="139" t="s">
        <v>32</v>
      </c>
      <c r="D58" s="95"/>
      <c r="E58" s="31"/>
      <c r="F58" s="31"/>
      <c r="G58" s="31"/>
      <c r="H58" s="31"/>
      <c r="I58" s="31"/>
      <c r="J58" s="31"/>
      <c r="K58" s="31"/>
      <c r="L58" s="31"/>
      <c r="M58" s="289"/>
      <c r="N58" s="289"/>
      <c r="O58" s="92"/>
      <c r="P58" s="71"/>
      <c r="Q58" s="32"/>
      <c r="R58" s="32"/>
      <c r="S58" s="31"/>
      <c r="T58" s="32"/>
      <c r="U58" s="31"/>
    </row>
    <row r="59" spans="1:42">
      <c r="A59" s="32"/>
      <c r="B59" s="102"/>
      <c r="C59" s="139" t="s">
        <v>74</v>
      </c>
      <c r="D59" s="95"/>
      <c r="E59" s="31"/>
      <c r="F59" s="31"/>
      <c r="G59" s="31"/>
      <c r="H59" s="31"/>
      <c r="I59" s="31"/>
      <c r="J59" s="31"/>
      <c r="K59" s="31"/>
      <c r="L59" s="31"/>
      <c r="M59" s="289"/>
      <c r="N59" s="289"/>
      <c r="O59" s="92"/>
      <c r="P59" s="71"/>
      <c r="Q59" s="31"/>
      <c r="R59" s="31"/>
      <c r="S59" s="31"/>
      <c r="T59" s="32"/>
      <c r="U59" s="31"/>
    </row>
    <row r="60" spans="1:42">
      <c r="A60" s="32"/>
      <c r="B60" s="102"/>
      <c r="C60" s="139" t="s">
        <v>30</v>
      </c>
      <c r="D60" s="95"/>
      <c r="E60" s="101"/>
      <c r="F60" s="101"/>
      <c r="G60" s="101"/>
      <c r="H60" s="101"/>
      <c r="I60" s="101"/>
      <c r="J60" s="101"/>
      <c r="K60" s="101"/>
      <c r="L60" s="101"/>
      <c r="M60" s="308"/>
      <c r="N60" s="308"/>
      <c r="O60" s="92"/>
      <c r="P60" s="32"/>
      <c r="Q60" s="31"/>
      <c r="R60" s="31"/>
      <c r="S60" s="31"/>
      <c r="T60" s="32"/>
    </row>
    <row r="61" spans="1:42">
      <c r="A61" s="32"/>
      <c r="B61" s="99"/>
      <c r="C61" s="139" t="s">
        <v>75</v>
      </c>
      <c r="D61" s="31"/>
      <c r="E61" s="101"/>
      <c r="F61" s="101"/>
      <c r="G61" s="101"/>
      <c r="H61" s="101"/>
      <c r="I61" s="101"/>
      <c r="J61" s="101"/>
      <c r="K61" s="101"/>
      <c r="L61" s="101"/>
      <c r="M61" s="308"/>
      <c r="N61" s="308"/>
      <c r="O61" s="92"/>
      <c r="P61" s="32"/>
      <c r="Q61" s="42"/>
      <c r="R61" s="42"/>
      <c r="S61" s="31"/>
      <c r="T61" s="32"/>
    </row>
    <row r="62" spans="1:42">
      <c r="C62" s="139" t="s">
        <v>76</v>
      </c>
      <c r="D62" s="105"/>
      <c r="O62" s="92"/>
      <c r="Q62" s="31"/>
      <c r="R62" s="31"/>
    </row>
    <row r="63" spans="1:42">
      <c r="C63" s="139" t="s">
        <v>27</v>
      </c>
      <c r="D63" s="32"/>
      <c r="E63" s="32"/>
      <c r="F63" s="32"/>
      <c r="G63" s="32"/>
      <c r="H63" s="32"/>
      <c r="I63" s="32"/>
      <c r="J63" s="32"/>
      <c r="K63" s="32"/>
      <c r="L63" s="32"/>
      <c r="M63" s="288"/>
      <c r="N63" s="288"/>
      <c r="O63" s="92"/>
      <c r="P63" s="32"/>
      <c r="Q63" s="31"/>
      <c r="R63" s="31"/>
      <c r="S63" s="32"/>
      <c r="T63" s="32"/>
      <c r="U63" s="32"/>
      <c r="V63" s="32"/>
    </row>
    <row r="64" spans="1:42">
      <c r="C64" s="139" t="s">
        <v>26</v>
      </c>
      <c r="D64" s="31"/>
      <c r="E64" s="31"/>
      <c r="F64" s="31"/>
      <c r="G64" s="31"/>
      <c r="H64" s="31"/>
      <c r="I64" s="31"/>
      <c r="J64" s="31"/>
      <c r="K64" s="31"/>
      <c r="L64" s="31"/>
      <c r="M64" s="289"/>
      <c r="N64" s="289"/>
      <c r="O64" s="92"/>
      <c r="P64" s="31"/>
      <c r="Q64" s="31"/>
      <c r="R64" s="31"/>
      <c r="S64" s="31"/>
      <c r="T64" s="31"/>
      <c r="U64" s="31"/>
      <c r="V64" s="31"/>
    </row>
    <row r="65" spans="1:22">
      <c r="A65" s="95"/>
      <c r="B65" s="100"/>
      <c r="C65" s="139" t="s">
        <v>77</v>
      </c>
      <c r="D65" s="32"/>
      <c r="E65" s="32"/>
      <c r="F65" s="32"/>
      <c r="G65" s="32"/>
      <c r="H65" s="32"/>
      <c r="I65" s="32"/>
      <c r="J65" s="32"/>
      <c r="K65" s="32"/>
      <c r="L65" s="32"/>
      <c r="M65" s="288"/>
      <c r="N65" s="288"/>
      <c r="O65" s="92"/>
      <c r="P65" s="32"/>
      <c r="Q65" s="31"/>
      <c r="R65" s="31"/>
      <c r="S65" s="32"/>
      <c r="T65" s="32"/>
      <c r="U65" s="32"/>
      <c r="V65" s="32"/>
    </row>
    <row r="66" spans="1:22">
      <c r="A66" s="32"/>
      <c r="B66" s="102"/>
      <c r="C66" s="139" t="s">
        <v>78</v>
      </c>
      <c r="D66" s="32"/>
      <c r="E66" s="103"/>
      <c r="F66" s="103"/>
      <c r="G66" s="103"/>
      <c r="H66" s="103"/>
      <c r="I66" s="103"/>
      <c r="J66" s="103"/>
      <c r="K66" s="103"/>
      <c r="L66" s="103"/>
      <c r="M66" s="310"/>
      <c r="N66" s="310"/>
      <c r="O66" s="92"/>
      <c r="P66" s="32"/>
      <c r="Q66" s="31"/>
      <c r="R66" s="31"/>
      <c r="S66" s="31"/>
      <c r="T66" s="32"/>
      <c r="U66" s="31"/>
    </row>
    <row r="67" spans="1:22">
      <c r="A67" s="32"/>
      <c r="B67" s="102"/>
      <c r="C67" s="139" t="s">
        <v>23</v>
      </c>
      <c r="D67" s="32"/>
      <c r="E67" s="101"/>
      <c r="F67" s="101"/>
      <c r="G67" s="101"/>
      <c r="H67" s="101"/>
      <c r="I67" s="101"/>
      <c r="J67" s="101"/>
      <c r="K67" s="101"/>
      <c r="L67" s="101"/>
      <c r="M67" s="308"/>
      <c r="N67" s="308"/>
      <c r="O67" s="92"/>
      <c r="P67" s="32"/>
      <c r="Q67" s="31"/>
      <c r="R67" s="31"/>
      <c r="S67" s="31"/>
      <c r="T67" s="32"/>
      <c r="U67" s="31"/>
    </row>
    <row r="68" spans="1:22">
      <c r="A68" s="32"/>
      <c r="B68" s="99"/>
      <c r="C68" s="139" t="s">
        <v>79</v>
      </c>
      <c r="D68" s="31"/>
      <c r="E68" s="31"/>
      <c r="F68" s="31"/>
      <c r="G68" s="31"/>
      <c r="H68" s="31"/>
      <c r="I68" s="31"/>
      <c r="J68" s="31"/>
      <c r="K68" s="31"/>
      <c r="L68" s="31"/>
      <c r="M68" s="289"/>
      <c r="N68" s="289"/>
      <c r="O68" s="92"/>
      <c r="P68" s="32"/>
      <c r="Q68" s="42"/>
      <c r="R68" s="42"/>
      <c r="S68" s="31"/>
      <c r="T68" s="32"/>
      <c r="U68" s="32"/>
    </row>
    <row r="69" spans="1:22">
      <c r="A69" s="32"/>
      <c r="B69" s="99"/>
      <c r="C69" s="139" t="s">
        <v>21</v>
      </c>
      <c r="D69" s="31"/>
      <c r="E69" s="31"/>
      <c r="F69" s="31"/>
      <c r="G69" s="31"/>
      <c r="H69" s="31"/>
      <c r="I69" s="31"/>
      <c r="J69" s="31"/>
      <c r="K69" s="31"/>
      <c r="L69" s="31"/>
      <c r="M69" s="289"/>
      <c r="N69" s="289"/>
      <c r="O69" s="92"/>
      <c r="P69" s="32"/>
      <c r="Q69" s="32"/>
      <c r="R69" s="32"/>
      <c r="S69" s="31"/>
      <c r="T69" s="32"/>
      <c r="U69" s="32"/>
    </row>
    <row r="70" spans="1:22">
      <c r="B70" s="53"/>
      <c r="C70" s="139" t="s">
        <v>20</v>
      </c>
      <c r="D70" s="31"/>
      <c r="E70" s="31"/>
      <c r="F70" s="31"/>
      <c r="G70" s="31"/>
      <c r="H70" s="31"/>
      <c r="I70" s="31"/>
      <c r="J70" s="31"/>
      <c r="K70" s="31"/>
      <c r="L70" s="31"/>
      <c r="M70" s="289"/>
      <c r="N70" s="289"/>
      <c r="O70" s="92"/>
      <c r="P70" s="97"/>
      <c r="Q70" s="97"/>
      <c r="R70" s="97"/>
      <c r="U70" s="32"/>
    </row>
    <row r="71" spans="1:22">
      <c r="A71" s="24"/>
      <c r="B71" s="24"/>
      <c r="C71" s="139" t="s">
        <v>80</v>
      </c>
      <c r="D71" s="24"/>
      <c r="E71" s="98"/>
      <c r="F71" s="98"/>
      <c r="G71" s="98"/>
      <c r="H71" s="98"/>
      <c r="I71" s="98"/>
      <c r="J71" s="98"/>
      <c r="K71" s="98"/>
      <c r="L71" s="98"/>
      <c r="M71" s="293"/>
      <c r="N71" s="293"/>
      <c r="O71" s="70"/>
      <c r="P71" s="24"/>
      <c r="Q71" s="9"/>
      <c r="R71" s="9"/>
      <c r="S71" s="24"/>
      <c r="T71" s="24"/>
      <c r="V71" s="97"/>
    </row>
    <row r="72" spans="1:22">
      <c r="A72" s="20"/>
      <c r="B72" s="20"/>
      <c r="C72" s="139" t="s">
        <v>18</v>
      </c>
      <c r="D72" s="20"/>
      <c r="E72" s="20"/>
      <c r="F72" s="20"/>
      <c r="G72" s="20"/>
      <c r="H72" s="20"/>
      <c r="I72" s="20"/>
      <c r="J72" s="20"/>
      <c r="K72" s="20"/>
      <c r="L72" s="20"/>
      <c r="M72" s="311"/>
      <c r="N72" s="311"/>
      <c r="O72" s="96"/>
      <c r="P72" s="18"/>
      <c r="Q72" s="23"/>
      <c r="R72" s="23"/>
      <c r="S72" s="22"/>
      <c r="T72" s="21"/>
      <c r="V72" s="95"/>
    </row>
    <row r="73" spans="1:22">
      <c r="A73" s="20"/>
      <c r="B73" s="80"/>
      <c r="C73" s="146" t="s">
        <v>81</v>
      </c>
      <c r="D73" s="93"/>
      <c r="E73" s="14"/>
      <c r="F73" s="14"/>
      <c r="G73" s="14"/>
      <c r="H73" s="14"/>
      <c r="I73" s="14"/>
      <c r="J73" s="14"/>
      <c r="K73" s="14"/>
      <c r="L73" s="14"/>
      <c r="M73" s="312"/>
      <c r="N73" s="312"/>
      <c r="O73" s="92"/>
      <c r="P73" s="12"/>
      <c r="Q73" s="17"/>
      <c r="R73" s="17"/>
      <c r="S73" s="16"/>
      <c r="T73" s="15"/>
      <c r="V73" s="84"/>
    </row>
    <row r="74" spans="1:22">
      <c r="B74" s="91"/>
      <c r="C74" s="146" t="s">
        <v>82</v>
      </c>
      <c r="D74" s="90"/>
      <c r="E74" s="89"/>
      <c r="F74" s="89"/>
      <c r="G74" s="89"/>
      <c r="H74" s="89"/>
      <c r="I74" s="89"/>
      <c r="J74" s="89"/>
      <c r="K74" s="89"/>
      <c r="L74" s="89"/>
      <c r="M74" s="313"/>
      <c r="N74" s="313"/>
      <c r="O74" s="70"/>
      <c r="P74" s="88"/>
      <c r="Q74" s="87"/>
      <c r="R74" s="87"/>
      <c r="S74" s="86"/>
      <c r="T74" s="85"/>
      <c r="V74" s="84"/>
    </row>
    <row r="75" spans="1:22">
      <c r="A75" s="20"/>
      <c r="B75" s="20"/>
      <c r="C75" s="146" t="s">
        <v>15</v>
      </c>
      <c r="D75" s="20"/>
      <c r="E75" s="20"/>
      <c r="F75" s="20"/>
      <c r="G75" s="20"/>
      <c r="H75" s="20"/>
      <c r="I75" s="20"/>
      <c r="J75" s="20"/>
      <c r="K75" s="20"/>
      <c r="L75" s="20"/>
      <c r="M75" s="311"/>
      <c r="N75" s="311"/>
      <c r="O75" s="82"/>
      <c r="P75" s="22"/>
      <c r="Q75" s="23"/>
      <c r="R75" s="23"/>
      <c r="S75" s="22"/>
      <c r="T75" s="21"/>
      <c r="V75" s="74"/>
    </row>
    <row r="76" spans="1:22">
      <c r="A76" s="73"/>
      <c r="B76" s="80"/>
      <c r="C76" s="146" t="s">
        <v>83</v>
      </c>
      <c r="D76" s="74"/>
      <c r="E76" s="2"/>
      <c r="F76" s="2"/>
      <c r="G76" s="2"/>
      <c r="H76" s="2"/>
      <c r="I76" s="2"/>
      <c r="J76" s="2"/>
      <c r="K76" s="2"/>
      <c r="L76" s="2"/>
      <c r="M76" s="306"/>
      <c r="N76" s="306"/>
      <c r="O76" s="81"/>
      <c r="P76" s="12"/>
      <c r="Q76" s="78"/>
      <c r="R76" s="78"/>
      <c r="S76" s="16"/>
      <c r="T76" s="77"/>
      <c r="V76" s="74"/>
    </row>
    <row r="77" spans="1:22">
      <c r="A77" s="73"/>
      <c r="B77" s="80"/>
      <c r="C77" s="146" t="s">
        <v>13</v>
      </c>
      <c r="D77" s="74"/>
      <c r="E77" s="2"/>
      <c r="F77" s="2"/>
      <c r="G77" s="2"/>
      <c r="H77" s="2"/>
      <c r="I77" s="2"/>
      <c r="J77" s="2"/>
      <c r="K77" s="2"/>
      <c r="L77" s="2"/>
      <c r="M77" s="306"/>
      <c r="N77" s="306"/>
      <c r="O77" s="79"/>
      <c r="P77" s="12"/>
      <c r="Q77" s="78"/>
      <c r="R77" s="78"/>
      <c r="S77" s="16"/>
      <c r="T77" s="77"/>
      <c r="V77" s="74"/>
    </row>
    <row r="78" spans="1:22">
      <c r="A78" s="73"/>
      <c r="B78" s="80"/>
      <c r="C78" s="139" t="s">
        <v>84</v>
      </c>
      <c r="D78" s="74"/>
      <c r="E78" s="2"/>
      <c r="F78" s="2"/>
      <c r="G78" s="2"/>
      <c r="H78" s="2"/>
      <c r="I78" s="2"/>
      <c r="J78" s="2"/>
      <c r="K78" s="2"/>
      <c r="L78" s="2"/>
      <c r="M78" s="306"/>
      <c r="N78" s="306"/>
      <c r="O78" s="79"/>
      <c r="P78" s="12"/>
      <c r="Q78" s="78"/>
      <c r="R78" s="78"/>
      <c r="S78" s="16"/>
      <c r="T78" s="77"/>
      <c r="V78" s="74"/>
    </row>
    <row r="79" spans="1:22">
      <c r="A79" s="73"/>
      <c r="B79" s="80"/>
      <c r="C79" s="139" t="s">
        <v>11</v>
      </c>
      <c r="D79" s="74"/>
      <c r="E79" s="2"/>
      <c r="F79" s="2"/>
      <c r="G79" s="2"/>
      <c r="H79" s="2"/>
      <c r="I79" s="2"/>
      <c r="J79" s="2"/>
      <c r="K79" s="2"/>
      <c r="L79" s="2"/>
      <c r="M79" s="306"/>
      <c r="N79" s="306"/>
      <c r="O79" s="79"/>
      <c r="P79" s="12"/>
      <c r="Q79" s="78"/>
      <c r="R79" s="78"/>
      <c r="S79" s="16"/>
      <c r="T79" s="77"/>
      <c r="V79" s="74"/>
    </row>
    <row r="80" spans="1:22">
      <c r="A80" s="73"/>
      <c r="B80" s="80"/>
      <c r="C80" s="139" t="s">
        <v>10</v>
      </c>
      <c r="D80" s="74"/>
      <c r="E80" s="2"/>
      <c r="F80" s="2"/>
      <c r="G80" s="2"/>
      <c r="H80" s="2"/>
      <c r="I80" s="2"/>
      <c r="J80" s="2"/>
      <c r="K80" s="2"/>
      <c r="L80" s="2"/>
      <c r="M80" s="306"/>
      <c r="N80" s="306"/>
      <c r="O80" s="79"/>
      <c r="P80" s="12"/>
      <c r="Q80" s="78"/>
      <c r="R80" s="78"/>
      <c r="S80" s="16"/>
      <c r="T80" s="77"/>
      <c r="V80" s="74"/>
    </row>
    <row r="81" spans="1:22">
      <c r="A81" s="73"/>
      <c r="B81" s="58"/>
      <c r="C81" s="139" t="s">
        <v>9</v>
      </c>
      <c r="D81" s="55"/>
      <c r="E81" s="76"/>
      <c r="F81" s="76"/>
      <c r="G81" s="76"/>
      <c r="H81" s="76"/>
      <c r="I81" s="76"/>
      <c r="J81" s="76"/>
      <c r="K81" s="76"/>
      <c r="L81" s="76"/>
      <c r="M81" s="314"/>
      <c r="N81" s="314"/>
      <c r="O81" s="55"/>
      <c r="P81" s="75"/>
      <c r="Q81" s="72"/>
      <c r="R81" s="72"/>
      <c r="S81" s="75"/>
      <c r="T81" s="50"/>
      <c r="V81" s="74"/>
    </row>
    <row r="82" spans="1:22">
      <c r="A82" s="73"/>
      <c r="B82" s="58"/>
      <c r="C82" s="139" t="s">
        <v>8</v>
      </c>
      <c r="D82" s="55"/>
      <c r="E82" s="76"/>
      <c r="F82" s="76"/>
      <c r="G82" s="76"/>
      <c r="H82" s="76"/>
      <c r="I82" s="76"/>
      <c r="J82" s="76"/>
      <c r="K82" s="76"/>
      <c r="L82" s="76"/>
      <c r="M82" s="314"/>
      <c r="N82" s="314"/>
      <c r="O82" s="55"/>
      <c r="P82" s="75"/>
      <c r="Q82" s="72"/>
      <c r="R82" s="72"/>
      <c r="S82" s="75"/>
      <c r="T82" s="50"/>
      <c r="V82" s="74"/>
    </row>
    <row r="83" spans="1:22">
      <c r="A83" s="73"/>
      <c r="B83" s="58"/>
      <c r="C83" s="10"/>
      <c r="D83" s="55"/>
      <c r="E83" s="62"/>
      <c r="F83" s="62"/>
      <c r="G83" s="62"/>
      <c r="H83" s="62"/>
      <c r="I83" s="62"/>
      <c r="J83" s="62"/>
      <c r="K83" s="62"/>
      <c r="L83" s="62"/>
      <c r="M83" s="315"/>
      <c r="N83" s="315"/>
      <c r="O83" s="55"/>
      <c r="P83" s="69"/>
      <c r="Q83" s="72"/>
      <c r="R83" s="72"/>
      <c r="S83" s="69"/>
      <c r="T83" s="50"/>
      <c r="V83" s="74"/>
    </row>
    <row r="84" spans="1:22">
      <c r="A84" s="73"/>
      <c r="B84" s="58"/>
      <c r="C84" s="10"/>
      <c r="D84" s="55"/>
      <c r="E84" s="62"/>
      <c r="F84" s="62"/>
      <c r="G84" s="62"/>
      <c r="H84" s="62"/>
      <c r="I84" s="62"/>
      <c r="J84" s="62"/>
      <c r="K84" s="62"/>
      <c r="L84" s="62"/>
      <c r="M84" s="315"/>
      <c r="N84" s="315"/>
      <c r="O84" s="55"/>
      <c r="P84" s="69"/>
      <c r="Q84" s="72"/>
      <c r="R84" s="72"/>
      <c r="S84" s="69"/>
      <c r="T84" s="50"/>
      <c r="V84" s="74"/>
    </row>
    <row r="85" spans="1:22">
      <c r="A85" s="73"/>
      <c r="B85" s="58"/>
      <c r="C85" s="10"/>
      <c r="D85" s="55"/>
      <c r="E85" s="62"/>
      <c r="F85" s="62"/>
      <c r="G85" s="62"/>
      <c r="H85" s="62"/>
      <c r="I85" s="62"/>
      <c r="J85" s="62"/>
      <c r="K85" s="62"/>
      <c r="L85" s="62"/>
      <c r="M85" s="315"/>
      <c r="N85" s="315"/>
      <c r="O85" s="55"/>
      <c r="P85" s="69"/>
      <c r="Q85" s="72"/>
      <c r="R85" s="72"/>
      <c r="S85" s="69"/>
      <c r="T85" s="50"/>
      <c r="V85" s="74"/>
    </row>
    <row r="86" spans="1:22">
      <c r="A86" s="73"/>
      <c r="B86" s="58"/>
      <c r="C86" s="10"/>
      <c r="D86" s="55"/>
      <c r="E86" s="62"/>
      <c r="F86" s="62"/>
      <c r="G86" s="62"/>
      <c r="H86" s="62"/>
      <c r="I86" s="62"/>
      <c r="J86" s="62"/>
      <c r="K86" s="62"/>
      <c r="L86" s="62"/>
      <c r="M86" s="315"/>
      <c r="N86" s="315"/>
      <c r="O86" s="55"/>
      <c r="P86" s="69"/>
      <c r="Q86" s="72"/>
      <c r="R86" s="72"/>
      <c r="S86" s="69"/>
      <c r="T86" s="50"/>
      <c r="V86" s="74"/>
    </row>
    <row r="87" spans="1:22">
      <c r="A87" s="73"/>
      <c r="B87" s="58"/>
      <c r="C87" s="10"/>
      <c r="D87" s="55"/>
      <c r="E87" s="62"/>
      <c r="F87" s="62"/>
      <c r="G87" s="62"/>
      <c r="H87" s="62"/>
      <c r="I87" s="62"/>
      <c r="J87" s="62"/>
      <c r="K87" s="62"/>
      <c r="L87" s="62"/>
      <c r="M87" s="315"/>
      <c r="N87" s="315"/>
      <c r="O87" s="55"/>
      <c r="P87" s="69"/>
      <c r="Q87" s="72"/>
      <c r="R87" s="72"/>
      <c r="S87" s="69"/>
      <c r="T87" s="50"/>
      <c r="V87" s="74"/>
    </row>
    <row r="88" spans="1:22">
      <c r="A88" s="73"/>
      <c r="B88" s="58"/>
      <c r="C88" s="10"/>
      <c r="D88" s="55"/>
      <c r="E88" s="62"/>
      <c r="F88" s="62"/>
      <c r="G88" s="62"/>
      <c r="H88" s="62"/>
      <c r="I88" s="62"/>
      <c r="J88" s="62"/>
      <c r="K88" s="62"/>
      <c r="L88" s="62"/>
      <c r="M88" s="315"/>
      <c r="N88" s="315"/>
      <c r="O88" s="55"/>
      <c r="P88" s="69"/>
      <c r="Q88" s="72"/>
      <c r="R88" s="72"/>
      <c r="S88" s="69"/>
      <c r="T88" s="50"/>
      <c r="V88" s="74"/>
    </row>
    <row r="89" spans="1:22">
      <c r="A89" s="73"/>
      <c r="B89" s="58"/>
      <c r="C89" s="10"/>
      <c r="D89" s="55"/>
      <c r="E89" s="62"/>
      <c r="F89" s="62"/>
      <c r="G89" s="62"/>
      <c r="H89" s="62"/>
      <c r="I89" s="62"/>
      <c r="J89" s="62"/>
      <c r="K89" s="62"/>
      <c r="L89" s="62"/>
      <c r="M89" s="315"/>
      <c r="N89" s="315"/>
      <c r="O89" s="55"/>
      <c r="P89" s="69"/>
      <c r="Q89" s="72"/>
      <c r="R89" s="72"/>
      <c r="S89" s="69"/>
      <c r="T89" s="50"/>
      <c r="V89" s="74"/>
    </row>
    <row r="90" spans="1:22">
      <c r="A90" s="73"/>
      <c r="B90" s="58"/>
      <c r="C90" s="10"/>
      <c r="D90" s="55"/>
      <c r="E90" s="62"/>
      <c r="F90" s="62"/>
      <c r="G90" s="62"/>
      <c r="H90" s="62"/>
      <c r="I90" s="62"/>
      <c r="J90" s="62"/>
      <c r="K90" s="62"/>
      <c r="L90" s="62"/>
      <c r="M90" s="315"/>
      <c r="N90" s="315"/>
      <c r="O90" s="55"/>
      <c r="P90" s="69"/>
      <c r="Q90" s="72"/>
      <c r="R90" s="72"/>
      <c r="S90" s="69"/>
      <c r="T90" s="50"/>
      <c r="V90" s="74"/>
    </row>
    <row r="91" spans="1:22">
      <c r="A91" s="73"/>
      <c r="B91" s="58"/>
      <c r="C91" s="10"/>
      <c r="D91" s="55"/>
      <c r="E91" s="62"/>
      <c r="F91" s="62"/>
      <c r="G91" s="62"/>
      <c r="H91" s="62"/>
      <c r="I91" s="62"/>
      <c r="J91" s="62"/>
      <c r="K91" s="62"/>
      <c r="L91" s="62"/>
      <c r="M91" s="315"/>
      <c r="N91" s="315"/>
      <c r="O91" s="55"/>
      <c r="P91" s="69"/>
      <c r="Q91" s="72"/>
      <c r="R91" s="72"/>
      <c r="S91" s="69"/>
      <c r="T91" s="50"/>
      <c r="V91" s="74"/>
    </row>
    <row r="92" spans="1:22">
      <c r="A92" s="73"/>
      <c r="B92" s="58"/>
      <c r="C92" s="10"/>
      <c r="D92" s="55"/>
      <c r="E92" s="62"/>
      <c r="F92" s="62"/>
      <c r="G92" s="62"/>
      <c r="H92" s="62"/>
      <c r="I92" s="62"/>
      <c r="J92" s="62"/>
      <c r="K92" s="62"/>
      <c r="L92" s="62"/>
      <c r="M92" s="315"/>
      <c r="N92" s="315"/>
      <c r="O92" s="55"/>
      <c r="P92" s="69"/>
      <c r="Q92" s="72"/>
      <c r="R92" s="72"/>
      <c r="S92" s="69"/>
      <c r="T92" s="50"/>
      <c r="V92" s="74"/>
    </row>
    <row r="93" spans="1:22">
      <c r="A93" s="73"/>
      <c r="B93" s="58"/>
      <c r="C93" s="10"/>
      <c r="D93" s="55"/>
      <c r="E93" s="62"/>
      <c r="F93" s="62"/>
      <c r="G93" s="62"/>
      <c r="H93" s="62"/>
      <c r="I93" s="62"/>
      <c r="J93" s="62"/>
      <c r="K93" s="62"/>
      <c r="L93" s="62"/>
      <c r="M93" s="315"/>
      <c r="N93" s="315"/>
      <c r="O93" s="55"/>
      <c r="P93" s="69"/>
      <c r="Q93" s="72"/>
      <c r="R93" s="72"/>
      <c r="S93" s="69"/>
      <c r="T93" s="50"/>
      <c r="V93" s="74"/>
    </row>
    <row r="94" spans="1:22">
      <c r="A94" s="73"/>
      <c r="B94" s="58"/>
      <c r="C94" s="10"/>
      <c r="D94" s="55"/>
      <c r="E94" s="62"/>
      <c r="F94" s="62"/>
      <c r="G94" s="62"/>
      <c r="H94" s="62"/>
      <c r="I94" s="62"/>
      <c r="J94" s="62"/>
      <c r="K94" s="62"/>
      <c r="L94" s="62"/>
      <c r="M94" s="315"/>
      <c r="N94" s="315"/>
      <c r="O94" s="55"/>
      <c r="P94" s="69"/>
      <c r="Q94" s="72"/>
      <c r="R94" s="72"/>
      <c r="S94" s="69"/>
      <c r="T94" s="50"/>
      <c r="V94" s="71"/>
    </row>
    <row r="95" spans="1:22">
      <c r="A95" s="73"/>
      <c r="B95" s="58"/>
      <c r="C95" s="10"/>
      <c r="D95" s="55"/>
      <c r="E95" s="62"/>
      <c r="F95" s="62"/>
      <c r="G95" s="62"/>
      <c r="H95" s="62"/>
      <c r="I95" s="62"/>
      <c r="J95" s="62"/>
      <c r="K95" s="62"/>
      <c r="L95" s="62"/>
      <c r="M95" s="315"/>
      <c r="N95" s="315"/>
      <c r="O95" s="55"/>
      <c r="P95" s="69"/>
      <c r="Q95" s="72"/>
      <c r="R95" s="72"/>
      <c r="S95" s="69"/>
      <c r="T95" s="50"/>
      <c r="V95" s="71"/>
    </row>
    <row r="96" spans="1:22">
      <c r="A96" s="24"/>
      <c r="B96" s="58"/>
      <c r="C96" s="11"/>
      <c r="D96" s="55"/>
      <c r="E96" s="62"/>
      <c r="F96" s="62"/>
      <c r="G96" s="62"/>
      <c r="H96" s="62"/>
      <c r="I96" s="62"/>
      <c r="J96" s="62"/>
      <c r="K96" s="62"/>
      <c r="L96" s="62"/>
      <c r="M96" s="315"/>
      <c r="N96" s="315"/>
      <c r="O96" s="55"/>
      <c r="P96" s="69"/>
      <c r="Q96" s="70"/>
      <c r="R96" s="70"/>
      <c r="S96" s="69"/>
      <c r="T96" s="50"/>
      <c r="V96" s="32"/>
    </row>
    <row r="97" spans="1:22">
      <c r="A97" s="24"/>
      <c r="B97" s="58"/>
      <c r="C97" s="11"/>
      <c r="D97" s="55"/>
      <c r="E97" s="62"/>
      <c r="F97" s="62"/>
      <c r="G97" s="62"/>
      <c r="H97" s="62"/>
      <c r="I97" s="62"/>
      <c r="J97" s="62"/>
      <c r="K97" s="62"/>
      <c r="L97" s="62"/>
      <c r="M97" s="315"/>
      <c r="N97" s="315"/>
      <c r="O97" s="55"/>
      <c r="P97" s="69"/>
      <c r="Q97" s="70"/>
      <c r="R97" s="70"/>
      <c r="S97" s="69"/>
      <c r="T97" s="50"/>
      <c r="V97" s="32"/>
    </row>
    <row r="98" spans="1:22">
      <c r="A98" s="24"/>
      <c r="B98" s="58"/>
      <c r="C98" s="11"/>
      <c r="D98" s="55"/>
      <c r="E98" s="62"/>
      <c r="F98" s="62"/>
      <c r="G98" s="62"/>
      <c r="H98" s="62"/>
      <c r="I98" s="62"/>
      <c r="J98" s="62"/>
      <c r="K98" s="62"/>
      <c r="L98" s="62"/>
      <c r="M98" s="315"/>
      <c r="N98" s="315"/>
      <c r="O98" s="55"/>
      <c r="P98" s="68"/>
      <c r="Q98" s="67"/>
      <c r="R98" s="67"/>
      <c r="S98" s="66"/>
      <c r="T98" s="50"/>
      <c r="V98" s="32"/>
    </row>
    <row r="99" spans="1:22">
      <c r="A99" s="65"/>
      <c r="B99" s="58"/>
      <c r="C99" s="11"/>
      <c r="D99" s="55"/>
      <c r="E99" s="54"/>
      <c r="F99" s="54"/>
      <c r="G99" s="54"/>
      <c r="H99" s="54"/>
      <c r="I99" s="54"/>
      <c r="J99" s="54"/>
      <c r="K99" s="54"/>
      <c r="L99" s="54"/>
      <c r="M99" s="316"/>
      <c r="N99" s="316"/>
      <c r="O99" s="55"/>
      <c r="P99" s="66"/>
      <c r="Q99" s="67"/>
      <c r="R99" s="67"/>
      <c r="S99" s="66"/>
      <c r="T99" s="50"/>
    </row>
    <row r="100" spans="1:22">
      <c r="A100" s="65"/>
      <c r="B100" s="58"/>
      <c r="C100" s="10"/>
      <c r="D100" s="55"/>
      <c r="E100" s="62"/>
      <c r="F100" s="62"/>
      <c r="G100" s="62"/>
      <c r="H100" s="62"/>
      <c r="I100" s="62"/>
      <c r="J100" s="62"/>
      <c r="K100" s="62"/>
      <c r="L100" s="62"/>
      <c r="M100" s="315"/>
      <c r="N100" s="315"/>
      <c r="O100" s="55"/>
      <c r="P100" s="64"/>
      <c r="Q100" s="52"/>
      <c r="R100" s="52"/>
      <c r="S100" s="64"/>
      <c r="T100" s="50"/>
      <c r="U100" s="63"/>
      <c r="V100" s="44"/>
    </row>
    <row r="101" spans="1:22">
      <c r="B101" s="58"/>
      <c r="C101" s="10"/>
      <c r="D101" s="55"/>
      <c r="E101" s="62"/>
      <c r="F101" s="62"/>
      <c r="G101" s="62"/>
      <c r="H101" s="62"/>
      <c r="I101" s="62"/>
      <c r="J101" s="62"/>
      <c r="K101" s="62"/>
      <c r="L101" s="62"/>
      <c r="M101" s="315"/>
      <c r="N101" s="315"/>
      <c r="O101" s="55"/>
      <c r="P101" s="51"/>
      <c r="Q101" s="51"/>
      <c r="R101" s="51"/>
      <c r="S101" s="51"/>
      <c r="T101" s="50"/>
      <c r="U101" s="61"/>
      <c r="V101" s="44"/>
    </row>
    <row r="102" spans="1:22">
      <c r="B102" s="58"/>
      <c r="C102" s="10"/>
      <c r="D102" s="55"/>
      <c r="E102" s="62"/>
      <c r="F102" s="62"/>
      <c r="G102" s="62"/>
      <c r="H102" s="62"/>
      <c r="I102" s="62"/>
      <c r="J102" s="62"/>
      <c r="K102" s="62"/>
      <c r="L102" s="62"/>
      <c r="M102" s="315"/>
      <c r="N102" s="315"/>
      <c r="O102" s="55"/>
      <c r="P102" s="51"/>
      <c r="Q102" s="51"/>
      <c r="R102" s="51"/>
      <c r="S102" s="51"/>
      <c r="T102" s="50"/>
      <c r="U102" s="61"/>
      <c r="V102" s="44"/>
    </row>
    <row r="103" spans="1:22">
      <c r="B103" s="58"/>
      <c r="C103" s="10"/>
      <c r="D103" s="55"/>
      <c r="E103" s="54"/>
      <c r="F103" s="54"/>
      <c r="G103" s="54"/>
      <c r="H103" s="54"/>
      <c r="I103" s="54"/>
      <c r="J103" s="54"/>
      <c r="K103" s="54"/>
      <c r="L103" s="54"/>
      <c r="M103" s="316"/>
      <c r="N103" s="316"/>
      <c r="O103" s="55"/>
      <c r="P103" s="51"/>
      <c r="Q103" s="60"/>
      <c r="R103" s="60"/>
      <c r="S103" s="51"/>
      <c r="T103" s="50"/>
      <c r="U103" s="59"/>
      <c r="V103" s="44"/>
    </row>
    <row r="104" spans="1:22">
      <c r="B104" s="58"/>
      <c r="C104" s="10"/>
      <c r="D104" s="55"/>
      <c r="E104" s="57"/>
      <c r="F104" s="57"/>
      <c r="G104" s="57"/>
      <c r="H104" s="57"/>
      <c r="I104" s="57"/>
      <c r="J104" s="57"/>
      <c r="K104" s="57"/>
      <c r="L104" s="57"/>
      <c r="M104" s="317"/>
      <c r="N104" s="317"/>
      <c r="O104" s="55"/>
      <c r="P104" s="51"/>
      <c r="Q104" s="52"/>
      <c r="R104" s="52"/>
      <c r="S104" s="51"/>
      <c r="T104" s="50"/>
      <c r="U104" s="40"/>
      <c r="V104" s="44"/>
    </row>
    <row r="105" spans="1:22">
      <c r="B105" s="53"/>
      <c r="C105" s="56"/>
      <c r="D105" s="55"/>
      <c r="E105" s="54"/>
      <c r="F105" s="54"/>
      <c r="G105" s="54"/>
      <c r="H105" s="54"/>
      <c r="I105" s="54"/>
      <c r="J105" s="54"/>
      <c r="K105" s="54"/>
      <c r="L105" s="54"/>
      <c r="M105" s="316"/>
      <c r="N105" s="316"/>
      <c r="O105" s="53"/>
      <c r="P105" s="51"/>
      <c r="Q105" s="52"/>
      <c r="R105" s="52"/>
      <c r="S105" s="51"/>
      <c r="T105" s="50"/>
      <c r="U105" s="35"/>
      <c r="V105" s="39"/>
    </row>
    <row r="106" spans="1:22">
      <c r="A106" s="24"/>
      <c r="B106" s="49"/>
      <c r="C106" s="24"/>
      <c r="D106" s="16"/>
      <c r="E106" s="48"/>
      <c r="F106" s="48"/>
      <c r="G106" s="48"/>
      <c r="H106" s="48"/>
      <c r="I106" s="48"/>
      <c r="J106" s="48"/>
      <c r="K106" s="48"/>
      <c r="L106" s="48"/>
      <c r="M106" s="318"/>
      <c r="N106" s="318"/>
      <c r="O106" s="24"/>
      <c r="P106" s="47"/>
      <c r="Q106" s="47"/>
      <c r="R106" s="47"/>
      <c r="S106" s="47"/>
      <c r="T106" s="25"/>
    </row>
    <row r="107" spans="1:22">
      <c r="A107" s="42"/>
      <c r="B107" s="34"/>
      <c r="C107" s="31"/>
      <c r="D107" s="46"/>
      <c r="E107" s="601"/>
      <c r="F107" s="601"/>
      <c r="G107" s="601"/>
      <c r="H107" s="601"/>
      <c r="I107" s="601"/>
      <c r="J107" s="601"/>
      <c r="K107" s="601"/>
      <c r="L107" s="601"/>
      <c r="M107" s="601"/>
      <c r="N107" s="601"/>
      <c r="O107" s="601"/>
      <c r="P107" s="601"/>
      <c r="Q107" s="45"/>
      <c r="R107" s="45"/>
      <c r="S107" s="31"/>
      <c r="T107" s="45"/>
      <c r="U107" s="40"/>
      <c r="V107" s="44"/>
    </row>
    <row r="108" spans="1:22">
      <c r="A108" s="42"/>
      <c r="B108" s="34"/>
      <c r="C108" s="41"/>
      <c r="D108" s="31"/>
      <c r="E108" s="601"/>
      <c r="F108" s="601"/>
      <c r="G108" s="601"/>
      <c r="H108" s="601"/>
      <c r="I108" s="601"/>
      <c r="J108" s="601"/>
      <c r="K108" s="601"/>
      <c r="L108" s="601"/>
      <c r="M108" s="601"/>
      <c r="N108" s="601"/>
      <c r="O108" s="601"/>
      <c r="P108" s="601"/>
      <c r="Q108" s="40"/>
      <c r="R108" s="40"/>
      <c r="S108" s="31"/>
      <c r="T108" s="40"/>
      <c r="U108" s="35"/>
      <c r="V108" s="39"/>
    </row>
    <row r="109" spans="1:22">
      <c r="C109" s="37"/>
      <c r="D109" s="36"/>
      <c r="E109" s="601"/>
      <c r="F109" s="601"/>
      <c r="G109" s="601"/>
      <c r="H109" s="601"/>
      <c r="I109" s="601"/>
      <c r="J109" s="601"/>
      <c r="K109" s="601"/>
      <c r="L109" s="601"/>
      <c r="M109" s="601"/>
      <c r="N109" s="601"/>
      <c r="O109" s="601"/>
      <c r="P109" s="601"/>
      <c r="Q109" s="35"/>
      <c r="R109" s="35"/>
      <c r="T109" s="35"/>
    </row>
    <row r="110" spans="1:22">
      <c r="B110" s="34"/>
      <c r="C110" s="33"/>
      <c r="D110" s="9"/>
      <c r="E110" s="31"/>
      <c r="F110" s="31"/>
      <c r="G110" s="31"/>
      <c r="H110" s="31"/>
      <c r="I110" s="31"/>
      <c r="J110" s="31"/>
      <c r="K110" s="31"/>
      <c r="L110" s="31"/>
      <c r="M110" s="289"/>
      <c r="N110" s="289"/>
      <c r="O110" s="596"/>
      <c r="P110" s="596"/>
      <c r="Q110" s="32"/>
      <c r="R110" s="32"/>
      <c r="S110" s="32"/>
    </row>
    <row r="111" spans="1:22">
      <c r="C111" s="10"/>
      <c r="D111" s="9"/>
      <c r="E111" s="31"/>
      <c r="F111" s="31"/>
      <c r="G111" s="31"/>
      <c r="H111" s="31"/>
      <c r="I111" s="31"/>
      <c r="J111" s="31"/>
      <c r="K111" s="31"/>
      <c r="L111" s="31"/>
      <c r="M111" s="289"/>
      <c r="N111" s="289"/>
      <c r="O111" s="32"/>
      <c r="P111" s="32"/>
      <c r="Q111" s="32"/>
      <c r="R111" s="32"/>
      <c r="S111" s="32"/>
    </row>
    <row r="112" spans="1:22">
      <c r="C112" s="10"/>
      <c r="D112" s="9"/>
      <c r="E112" s="31"/>
      <c r="F112" s="31"/>
      <c r="G112" s="31"/>
      <c r="H112" s="31"/>
      <c r="I112" s="31"/>
      <c r="J112" s="31"/>
      <c r="K112" s="31"/>
      <c r="L112" s="31"/>
      <c r="M112" s="289"/>
      <c r="N112" s="289"/>
      <c r="P112" s="32"/>
      <c r="Q112" s="32"/>
      <c r="R112" s="32"/>
      <c r="S112" s="32"/>
    </row>
    <row r="113" spans="1:20">
      <c r="A113" s="29"/>
      <c r="B113" s="29"/>
      <c r="C113" s="10"/>
      <c r="D113" s="9"/>
      <c r="E113" s="31"/>
      <c r="F113" s="31"/>
      <c r="G113" s="31"/>
      <c r="H113" s="31"/>
      <c r="I113" s="31"/>
      <c r="J113" s="31"/>
      <c r="K113" s="31"/>
      <c r="L113" s="31"/>
      <c r="M113" s="289"/>
      <c r="N113" s="289"/>
      <c r="O113" s="31"/>
      <c r="Q113" s="29"/>
      <c r="R113" s="29"/>
      <c r="S113" s="29"/>
      <c r="T113" s="30"/>
    </row>
    <row r="114" spans="1:20">
      <c r="A114" s="29"/>
      <c r="C114" s="10"/>
      <c r="D114" s="9"/>
      <c r="E114" s="29"/>
      <c r="F114" s="29"/>
      <c r="G114" s="29"/>
      <c r="H114" s="29"/>
      <c r="I114" s="29"/>
      <c r="J114" s="29"/>
      <c r="K114" s="29"/>
      <c r="L114" s="29"/>
      <c r="M114" s="319"/>
      <c r="N114" s="319"/>
      <c r="O114" s="29"/>
      <c r="P114" s="29"/>
      <c r="Q114" s="26"/>
      <c r="R114" s="26"/>
      <c r="S114" s="26"/>
      <c r="T114" s="28"/>
    </row>
    <row r="115" spans="1:20">
      <c r="A115" s="24"/>
      <c r="B115" s="24"/>
      <c r="C115" s="10"/>
      <c r="D115" s="9"/>
      <c r="E115" s="27"/>
      <c r="F115" s="27"/>
      <c r="G115" s="27"/>
      <c r="H115" s="27"/>
      <c r="I115" s="27"/>
      <c r="J115" s="27"/>
      <c r="K115" s="27"/>
      <c r="L115" s="27"/>
      <c r="M115" s="320"/>
      <c r="N115" s="320"/>
      <c r="O115" s="26"/>
      <c r="P115" s="26"/>
      <c r="Q115" s="24"/>
      <c r="R115" s="24"/>
      <c r="S115" s="24"/>
      <c r="T115" s="24"/>
    </row>
    <row r="116" spans="1:20">
      <c r="A116" s="29"/>
      <c r="B116" s="29"/>
      <c r="C116" s="10"/>
      <c r="D116" s="9"/>
      <c r="E116" s="24"/>
      <c r="F116" s="24"/>
      <c r="G116" s="24"/>
      <c r="H116" s="24"/>
      <c r="I116" s="24"/>
      <c r="J116" s="24"/>
      <c r="K116" s="24"/>
      <c r="L116" s="24"/>
      <c r="M116" s="321"/>
      <c r="N116" s="321"/>
      <c r="O116" s="24"/>
      <c r="P116" s="24"/>
      <c r="Q116" s="29"/>
      <c r="R116" s="29"/>
      <c r="S116" s="29"/>
      <c r="T116" s="30"/>
    </row>
    <row r="117" spans="1:20">
      <c r="A117" s="29"/>
      <c r="B117" s="3"/>
      <c r="C117" s="10"/>
      <c r="D117" s="9"/>
      <c r="E117" s="29"/>
      <c r="F117" s="29"/>
      <c r="G117" s="29"/>
      <c r="H117" s="29"/>
      <c r="I117" s="29"/>
      <c r="J117" s="29"/>
      <c r="K117" s="29"/>
      <c r="L117" s="29"/>
      <c r="M117" s="319"/>
      <c r="N117" s="319"/>
      <c r="O117" s="29"/>
      <c r="P117" s="29"/>
      <c r="Q117" s="26"/>
      <c r="R117" s="26"/>
      <c r="S117" s="26"/>
      <c r="T117" s="28"/>
    </row>
    <row r="118" spans="1:20">
      <c r="A118" s="24"/>
      <c r="B118" s="24"/>
      <c r="C118" s="10"/>
      <c r="D118" s="9"/>
      <c r="E118" s="27"/>
      <c r="F118" s="27"/>
      <c r="G118" s="27"/>
      <c r="H118" s="27"/>
      <c r="I118" s="27"/>
      <c r="J118" s="27"/>
      <c r="K118" s="27"/>
      <c r="L118" s="27"/>
      <c r="M118" s="320"/>
      <c r="N118" s="320"/>
      <c r="O118" s="26"/>
      <c r="P118" s="26"/>
      <c r="Q118" s="25"/>
      <c r="R118" s="25"/>
      <c r="S118" s="24"/>
      <c r="T118" s="24"/>
    </row>
    <row r="119" spans="1:20">
      <c r="A119" s="20"/>
      <c r="B119" s="20"/>
      <c r="C119" s="10"/>
      <c r="D119" s="9"/>
      <c r="E119" s="24"/>
      <c r="F119" s="24"/>
      <c r="G119" s="24"/>
      <c r="H119" s="24"/>
      <c r="I119" s="24"/>
      <c r="J119" s="24"/>
      <c r="K119" s="24"/>
      <c r="L119" s="24"/>
      <c r="M119" s="321"/>
      <c r="N119" s="321"/>
      <c r="O119" s="25"/>
      <c r="P119" s="24"/>
      <c r="Q119" s="23"/>
      <c r="R119" s="23"/>
      <c r="S119" s="22"/>
      <c r="T119" s="21"/>
    </row>
    <row r="120" spans="1:20">
      <c r="A120" s="20"/>
      <c r="B120" s="14"/>
      <c r="C120" s="11"/>
      <c r="D120" s="9"/>
      <c r="E120" s="20"/>
      <c r="F120" s="20"/>
      <c r="G120" s="20"/>
      <c r="H120" s="20"/>
      <c r="I120" s="20"/>
      <c r="J120" s="20"/>
      <c r="K120" s="20"/>
      <c r="L120" s="20"/>
      <c r="M120" s="311"/>
      <c r="N120" s="311"/>
      <c r="O120" s="19"/>
      <c r="P120" s="18"/>
      <c r="Q120" s="17"/>
      <c r="R120" s="17"/>
      <c r="S120" s="16"/>
      <c r="T120" s="15"/>
    </row>
    <row r="121" spans="1:20">
      <c r="B121" s="7"/>
      <c r="C121" s="11"/>
      <c r="D121" s="9"/>
      <c r="E121" s="14"/>
      <c r="F121" s="14"/>
      <c r="G121" s="14"/>
      <c r="H121" s="14"/>
      <c r="I121" s="14"/>
      <c r="J121" s="14"/>
      <c r="K121" s="14"/>
      <c r="L121" s="14"/>
      <c r="M121" s="312"/>
      <c r="N121" s="312"/>
      <c r="O121" s="13"/>
      <c r="P121" s="12"/>
    </row>
    <row r="122" spans="1:20">
      <c r="B122" s="7"/>
      <c r="C122" s="11"/>
      <c r="D122" s="9"/>
      <c r="E122" s="345"/>
      <c r="F122" s="345"/>
      <c r="G122" s="345"/>
      <c r="H122" s="345"/>
      <c r="I122" s="345"/>
      <c r="J122" s="345"/>
      <c r="K122" s="345"/>
      <c r="L122" s="345"/>
      <c r="M122" s="307"/>
      <c r="N122" s="307"/>
      <c r="O122" s="345"/>
      <c r="P122" s="345"/>
    </row>
    <row r="123" spans="1:20">
      <c r="B123" s="7"/>
      <c r="C123" s="10"/>
      <c r="D123" s="9"/>
      <c r="E123" s="345"/>
      <c r="F123" s="345"/>
      <c r="G123" s="345"/>
      <c r="H123" s="345"/>
      <c r="I123" s="345"/>
      <c r="J123" s="345"/>
      <c r="K123" s="345"/>
      <c r="L123" s="345"/>
      <c r="M123" s="307"/>
      <c r="N123" s="307"/>
      <c r="O123" s="345"/>
      <c r="P123" s="345"/>
    </row>
    <row r="124" spans="1:20">
      <c r="B124" s="7"/>
      <c r="C124" s="10"/>
      <c r="D124" s="9"/>
      <c r="E124" s="345"/>
      <c r="F124" s="345"/>
      <c r="G124" s="345"/>
      <c r="H124" s="345"/>
      <c r="I124" s="345"/>
      <c r="J124" s="345"/>
      <c r="K124" s="345"/>
      <c r="L124" s="345"/>
      <c r="M124" s="307"/>
      <c r="N124" s="307"/>
      <c r="O124" s="345"/>
      <c r="P124" s="345"/>
    </row>
    <row r="125" spans="1:20">
      <c r="B125" s="7"/>
      <c r="C125" s="10"/>
      <c r="D125" s="9"/>
      <c r="E125" s="345"/>
      <c r="F125" s="345"/>
      <c r="G125" s="345"/>
      <c r="H125" s="345"/>
      <c r="I125" s="345"/>
      <c r="J125" s="345"/>
      <c r="K125" s="345"/>
      <c r="L125" s="345"/>
      <c r="M125" s="307"/>
      <c r="N125" s="307"/>
      <c r="O125" s="345"/>
      <c r="P125" s="345"/>
    </row>
    <row r="126" spans="1:20">
      <c r="B126" s="7"/>
      <c r="C126" s="8"/>
      <c r="D126" s="345"/>
      <c r="E126" s="345"/>
      <c r="F126" s="345"/>
      <c r="G126" s="345"/>
      <c r="H126" s="345"/>
      <c r="I126" s="345"/>
      <c r="J126" s="345"/>
      <c r="K126" s="345"/>
      <c r="L126" s="345"/>
      <c r="M126" s="307"/>
      <c r="N126" s="307"/>
      <c r="O126" s="345"/>
      <c r="P126" s="345"/>
    </row>
    <row r="127" spans="1:20">
      <c r="B127" s="7"/>
      <c r="C127" s="8"/>
      <c r="D127" s="345"/>
      <c r="E127" s="345"/>
      <c r="F127" s="345"/>
      <c r="G127" s="345"/>
      <c r="H127" s="345"/>
      <c r="I127" s="345"/>
      <c r="J127" s="345"/>
      <c r="K127" s="345"/>
      <c r="L127" s="345"/>
      <c r="M127" s="307"/>
      <c r="N127" s="307"/>
      <c r="O127" s="345"/>
      <c r="P127" s="345"/>
    </row>
    <row r="128" spans="1:20">
      <c r="B128" s="7"/>
      <c r="C128" s="345"/>
      <c r="D128" s="345"/>
      <c r="E128" s="345"/>
      <c r="F128" s="345"/>
      <c r="G128" s="345"/>
      <c r="H128" s="345"/>
      <c r="I128" s="345"/>
      <c r="J128" s="345"/>
      <c r="K128" s="345"/>
      <c r="L128" s="345"/>
      <c r="M128" s="307"/>
      <c r="N128" s="307"/>
      <c r="O128" s="345"/>
      <c r="P128" s="345"/>
    </row>
    <row r="129" spans="2:16">
      <c r="B129" s="7"/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07"/>
      <c r="N129" s="307"/>
      <c r="O129" s="345"/>
      <c r="P129" s="345"/>
    </row>
    <row r="130" spans="2:16">
      <c r="B130" s="7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07"/>
      <c r="N130" s="307"/>
      <c r="O130" s="345"/>
      <c r="P130" s="345"/>
    </row>
    <row r="131" spans="2:16">
      <c r="B131" s="7"/>
      <c r="C131" s="345"/>
      <c r="D131" s="345"/>
      <c r="O131" s="345"/>
      <c r="P131" s="345"/>
    </row>
    <row r="132" spans="2:16">
      <c r="B132" s="7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07"/>
      <c r="N132" s="307"/>
      <c r="O132" s="345"/>
      <c r="P132" s="345"/>
    </row>
    <row r="133" spans="2:16">
      <c r="B133" s="7"/>
      <c r="C133" s="345"/>
      <c r="D133" s="345"/>
      <c r="E133" s="345"/>
      <c r="F133" s="345"/>
      <c r="G133" s="345"/>
      <c r="H133" s="345"/>
      <c r="I133" s="345"/>
      <c r="J133" s="345"/>
      <c r="K133" s="345"/>
      <c r="L133" s="345"/>
      <c r="M133" s="307"/>
      <c r="N133" s="307"/>
      <c r="O133" s="345"/>
      <c r="P133" s="345"/>
    </row>
    <row r="134" spans="2:16">
      <c r="B134" s="7"/>
      <c r="C134" s="345"/>
      <c r="D134" s="345"/>
      <c r="E134" s="345"/>
      <c r="F134" s="345"/>
      <c r="G134" s="345"/>
      <c r="H134" s="345"/>
      <c r="I134" s="345"/>
      <c r="J134" s="345"/>
      <c r="K134" s="345"/>
      <c r="L134" s="345"/>
      <c r="M134" s="307"/>
      <c r="N134" s="307"/>
      <c r="O134" s="345"/>
      <c r="P134" s="345"/>
    </row>
    <row r="135" spans="2:16">
      <c r="B135" s="7"/>
      <c r="C135" s="345"/>
      <c r="D135" s="345"/>
      <c r="E135" s="345"/>
      <c r="F135" s="345"/>
      <c r="G135" s="345"/>
      <c r="H135" s="345"/>
      <c r="I135" s="345"/>
      <c r="J135" s="345"/>
      <c r="K135" s="345"/>
      <c r="L135" s="345"/>
      <c r="M135" s="307"/>
      <c r="N135" s="307"/>
    </row>
    <row r="136" spans="2:16">
      <c r="B136" s="7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07"/>
      <c r="N136" s="307"/>
    </row>
    <row r="137" spans="2:16">
      <c r="B137" s="7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07"/>
      <c r="N137" s="307"/>
    </row>
    <row r="138" spans="2:16">
      <c r="B138" s="6"/>
      <c r="C138" s="5"/>
    </row>
    <row r="141" spans="2:16">
      <c r="B141" s="4"/>
    </row>
    <row r="142" spans="2:16">
      <c r="B142" s="3"/>
      <c r="C142" s="345"/>
    </row>
    <row r="158" spans="15:19">
      <c r="O158" s="345"/>
      <c r="P158" s="345"/>
      <c r="Q158" s="345"/>
      <c r="R158" s="345"/>
      <c r="S158" s="345"/>
    </row>
    <row r="159" spans="15:19">
      <c r="O159" s="345"/>
      <c r="P159" s="345"/>
      <c r="Q159" s="345"/>
      <c r="R159" s="345"/>
      <c r="S159" s="345"/>
    </row>
    <row r="160" spans="15:19">
      <c r="O160" s="345"/>
      <c r="P160" s="345"/>
      <c r="Q160" s="2"/>
      <c r="R160" s="2"/>
      <c r="S160" s="345"/>
    </row>
    <row r="161" spans="15:19">
      <c r="O161" s="345"/>
      <c r="P161" s="345"/>
      <c r="Q161" s="2"/>
      <c r="R161" s="2"/>
      <c r="S161" s="345"/>
    </row>
    <row r="162" spans="15:19">
      <c r="O162" s="345"/>
      <c r="P162" s="345"/>
      <c r="Q162" s="345"/>
      <c r="R162" s="345"/>
      <c r="S162" s="345"/>
    </row>
    <row r="163" spans="15:19">
      <c r="O163" s="345"/>
      <c r="P163" s="345"/>
      <c r="Q163" s="345"/>
      <c r="R163" s="345"/>
      <c r="S163" s="345"/>
    </row>
    <row r="164" spans="15:19">
      <c r="O164" s="345"/>
      <c r="P164" s="345"/>
      <c r="Q164" s="345"/>
      <c r="R164" s="345"/>
      <c r="S164" s="345"/>
    </row>
    <row r="165" spans="15:19">
      <c r="O165" s="345"/>
      <c r="P165" s="345"/>
      <c r="Q165" s="345"/>
      <c r="R165" s="345"/>
      <c r="S165" s="345"/>
    </row>
    <row r="166" spans="15:19">
      <c r="O166" s="345"/>
      <c r="P166" s="345"/>
      <c r="Q166" s="345"/>
      <c r="R166" s="345"/>
      <c r="S166" s="345"/>
    </row>
  </sheetData>
  <mergeCells count="7">
    <mergeCell ref="O110:P110"/>
    <mergeCell ref="D1:E1"/>
    <mergeCell ref="O1:P1"/>
    <mergeCell ref="O2:Q2"/>
    <mergeCell ref="E107:P107"/>
    <mergeCell ref="E108:P108"/>
    <mergeCell ref="E109:P109"/>
  </mergeCells>
  <conditionalFormatting sqref="S16:S43 P28:Q30 U28:U30 P36:Q38 U36:U44 Q39:Q43 V43 T43:T44 P46:R46 T46 Q49:R50 T49:T50 U50 Q54:T54 P55 P57:T57 Q58:T58 Q59:R59 T59 P60:T61 Q62:R62 T62 Q63:T63 P64:R64 T64 P66 S66 Q66:R67 T66:T67 U68:U69 Q69:R70 T69:T70 Q78:T78 P79 Q83:S83 P84:R85 P86:S89 Q90:R90 Q91:S93 P91:P95 S94:S95 Q94:R99 U98:U99 P100:S100 U104:U105 Q104:R106 T106 U107:U108 Q108:R109 T108:T109 D118 D121:D125 E46:N46 E49:N50 E98:N99 E103:N103 E105:N105">
    <cfRule type="cellIs" dxfId="8" priority="2" stopIfTrue="1" operator="lessThan">
      <formula>0</formula>
    </cfRule>
  </conditionalFormatting>
  <conditionalFormatting sqref="W43:W44">
    <cfRule type="cellIs" dxfId="7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66"/>
  <sheetViews>
    <sheetView zoomScale="120" zoomScaleNormal="120" workbookViewId="0">
      <selection activeCell="G16" sqref="G16"/>
    </sheetView>
  </sheetViews>
  <sheetFormatPr defaultRowHeight="15"/>
  <cols>
    <col min="1" max="1" width="5.42578125" customWidth="1"/>
    <col min="2" max="2" width="13.140625" bestFit="1" customWidth="1"/>
    <col min="3" max="3" width="51.7109375" bestFit="1" customWidth="1"/>
    <col min="4" max="4" width="22.140625" bestFit="1" customWidth="1"/>
    <col min="5" max="7" width="16.42578125" customWidth="1"/>
    <col min="8" max="8" width="15.85546875" customWidth="1"/>
    <col min="9" max="9" width="19.85546875" bestFit="1" customWidth="1"/>
    <col min="10" max="11" width="19" customWidth="1"/>
    <col min="12" max="12" width="23.140625" customWidth="1"/>
    <col min="13" max="13" width="19.42578125" customWidth="1"/>
    <col min="14" max="14" width="19" bestFit="1" customWidth="1"/>
    <col min="15" max="15" width="17.5703125" customWidth="1"/>
    <col min="16" max="16" width="18.7109375" bestFit="1" customWidth="1"/>
    <col min="17" max="17" width="12.7109375" customWidth="1"/>
    <col min="18" max="18" width="14" customWidth="1"/>
    <col min="19" max="19" width="11.85546875" customWidth="1"/>
    <col min="20" max="20" width="12.7109375" customWidth="1"/>
  </cols>
  <sheetData>
    <row r="1" spans="1:39" ht="21.75" thickBot="1">
      <c r="B1" s="266" t="s">
        <v>63</v>
      </c>
      <c r="C1" s="265" t="s">
        <v>62</v>
      </c>
      <c r="D1" s="597"/>
      <c r="E1" s="598"/>
      <c r="F1" s="263"/>
      <c r="G1" s="263"/>
      <c r="H1" s="597"/>
      <c r="I1" s="598"/>
      <c r="J1" s="264"/>
      <c r="K1" s="263"/>
      <c r="L1" s="263"/>
      <c r="M1" s="262">
        <v>3</v>
      </c>
      <c r="N1" s="262">
        <v>2</v>
      </c>
      <c r="O1" s="262">
        <v>3</v>
      </c>
      <c r="P1" s="262">
        <v>3</v>
      </c>
      <c r="Q1" s="262">
        <v>3</v>
      </c>
      <c r="R1" s="262">
        <v>3</v>
      </c>
    </row>
    <row r="2" spans="1:39" s="1" customFormat="1" ht="21">
      <c r="A2" s="261" t="s">
        <v>61</v>
      </c>
      <c r="B2" s="260"/>
      <c r="C2" s="259" t="s">
        <v>60</v>
      </c>
      <c r="D2" s="258"/>
      <c r="E2" s="257"/>
      <c r="F2" s="279"/>
      <c r="G2" s="279"/>
      <c r="H2" s="599" t="s">
        <v>59</v>
      </c>
      <c r="I2" s="599"/>
      <c r="J2" s="600"/>
      <c r="K2" s="256"/>
      <c r="L2" s="255" t="s">
        <v>58</v>
      </c>
      <c r="M2" s="254"/>
      <c r="N2" s="253"/>
      <c r="O2" s="252"/>
      <c r="P2" s="251"/>
      <c r="Q2" s="250"/>
      <c r="R2" s="249"/>
      <c r="S2" s="248"/>
      <c r="T2" s="247"/>
    </row>
    <row r="3" spans="1:39" ht="18.75">
      <c r="A3" s="177" t="s">
        <v>57</v>
      </c>
      <c r="B3" s="240"/>
      <c r="C3" s="246">
        <v>45435</v>
      </c>
      <c r="D3" s="242">
        <v>1</v>
      </c>
      <c r="E3" s="245">
        <v>2</v>
      </c>
      <c r="F3" s="32"/>
      <c r="G3" s="32"/>
      <c r="H3" s="242">
        <v>3</v>
      </c>
      <c r="I3" s="32">
        <v>4</v>
      </c>
      <c r="J3" s="228">
        <v>5</v>
      </c>
      <c r="K3" s="227"/>
      <c r="L3" s="227">
        <v>6</v>
      </c>
      <c r="M3" s="244">
        <v>8</v>
      </c>
      <c r="N3" s="32">
        <v>9</v>
      </c>
      <c r="O3" s="243">
        <v>10</v>
      </c>
      <c r="P3" s="32">
        <v>11</v>
      </c>
      <c r="Q3" s="241">
        <v>12</v>
      </c>
      <c r="R3" s="242">
        <v>13</v>
      </c>
      <c r="S3" s="32">
        <v>14</v>
      </c>
      <c r="T3" s="241">
        <v>15</v>
      </c>
      <c r="U3" s="32">
        <v>16</v>
      </c>
      <c r="V3" s="32">
        <v>17</v>
      </c>
      <c r="W3" s="32">
        <v>18</v>
      </c>
      <c r="X3" s="32">
        <v>19</v>
      </c>
      <c r="Y3" s="32">
        <v>20</v>
      </c>
      <c r="Z3" s="32">
        <v>21</v>
      </c>
      <c r="AA3" s="32">
        <v>22</v>
      </c>
      <c r="AB3" s="32">
        <v>23</v>
      </c>
      <c r="AC3" s="32">
        <v>24</v>
      </c>
      <c r="AD3" s="32">
        <v>25</v>
      </c>
      <c r="AE3" s="32">
        <v>26</v>
      </c>
      <c r="AF3" s="32">
        <v>27</v>
      </c>
      <c r="AG3" s="32">
        <v>28</v>
      </c>
      <c r="AH3" s="32">
        <v>29</v>
      </c>
      <c r="AI3" s="32">
        <v>30</v>
      </c>
      <c r="AJ3" s="32"/>
      <c r="AK3" s="32"/>
      <c r="AL3" s="32"/>
      <c r="AM3" s="32"/>
    </row>
    <row r="4" spans="1:39" ht="18.75">
      <c r="A4" s="177" t="s">
        <v>56</v>
      </c>
      <c r="B4" s="240"/>
      <c r="C4" s="239">
        <f>D4</f>
        <v>200.8</v>
      </c>
      <c r="D4" s="31">
        <v>200.8</v>
      </c>
      <c r="E4" s="238"/>
      <c r="F4" s="31"/>
      <c r="G4" s="31"/>
      <c r="H4" s="234"/>
      <c r="I4" s="235"/>
      <c r="J4" s="215"/>
      <c r="K4" s="214"/>
      <c r="L4" s="214"/>
      <c r="M4" s="237"/>
      <c r="N4" s="31"/>
      <c r="O4" s="236"/>
      <c r="P4" s="31"/>
      <c r="Q4" s="234"/>
      <c r="R4" s="235"/>
      <c r="S4" s="31"/>
      <c r="T4" s="234"/>
      <c r="U4" s="234"/>
      <c r="V4" s="234"/>
      <c r="W4" s="104"/>
      <c r="X4" s="104"/>
      <c r="Y4" s="104"/>
      <c r="Z4" s="104"/>
      <c r="AA4" s="104"/>
    </row>
    <row r="5" spans="1:39" ht="19.5" thickBot="1">
      <c r="A5" s="233"/>
      <c r="B5" s="232">
        <f>C4/C5</f>
        <v>40.160000000000004</v>
      </c>
      <c r="C5" s="201">
        <v>5</v>
      </c>
      <c r="D5" s="223">
        <v>5</v>
      </c>
      <c r="E5" s="231"/>
      <c r="F5" s="280"/>
      <c r="G5" s="280"/>
      <c r="H5" s="230"/>
      <c r="I5" s="229"/>
      <c r="J5" s="228"/>
      <c r="K5" s="227"/>
      <c r="L5" s="227"/>
      <c r="M5" s="226"/>
      <c r="N5" s="223"/>
      <c r="O5" s="225"/>
      <c r="P5" s="223"/>
      <c r="Q5" s="222"/>
      <c r="R5" s="224"/>
      <c r="S5" s="223"/>
      <c r="T5" s="222"/>
      <c r="U5" s="32"/>
      <c r="V5" s="32"/>
      <c r="Y5" s="97"/>
      <c r="AD5" s="97"/>
    </row>
    <row r="6" spans="1:39" ht="21">
      <c r="A6" s="212" t="s">
        <v>55</v>
      </c>
      <c r="B6" s="217">
        <f>D4</f>
        <v>200.8</v>
      </c>
      <c r="C6" s="216">
        <f>B6/B8</f>
        <v>1</v>
      </c>
      <c r="D6" s="103">
        <v>0</v>
      </c>
      <c r="E6" s="95">
        <f>B6-D6</f>
        <v>200.8</v>
      </c>
      <c r="F6" s="95"/>
      <c r="G6" s="95"/>
      <c r="H6" s="32"/>
      <c r="I6" s="221" t="s">
        <v>55</v>
      </c>
      <c r="J6" s="220">
        <f>L6*B6</f>
        <v>2889.1104</v>
      </c>
      <c r="K6" s="219"/>
      <c r="L6" s="218">
        <f>C8*1.09</f>
        <v>14.388</v>
      </c>
      <c r="M6" s="32" t="s">
        <v>54</v>
      </c>
      <c r="N6" s="31"/>
      <c r="P6" s="51"/>
      <c r="S6" s="1"/>
      <c r="T6" s="1"/>
      <c r="U6" s="1"/>
      <c r="V6" s="1"/>
      <c r="W6" s="1"/>
      <c r="X6" s="1"/>
      <c r="Y6" s="1"/>
    </row>
    <row r="7" spans="1:39" ht="21">
      <c r="A7" s="212"/>
      <c r="B7" s="217"/>
      <c r="C7" s="216">
        <f>B7/B8</f>
        <v>0</v>
      </c>
      <c r="D7" s="95">
        <f>D6*$C$8*1.09</f>
        <v>0</v>
      </c>
      <c r="E7" s="95">
        <f>E6*$C$8*1.09</f>
        <v>2889.1104</v>
      </c>
      <c r="F7" s="95"/>
      <c r="G7" s="95"/>
      <c r="H7" s="31">
        <f>D7+E7</f>
        <v>2889.1104</v>
      </c>
      <c r="I7" s="212"/>
      <c r="J7" s="215"/>
      <c r="K7" s="214"/>
      <c r="L7" s="209"/>
      <c r="M7" s="32">
        <v>6439.36</v>
      </c>
      <c r="N7" s="31"/>
      <c r="P7" s="51">
        <v>145.1</v>
      </c>
      <c r="Q7">
        <v>5.8</v>
      </c>
      <c r="R7" s="100">
        <f t="shared" ref="R7:R14" si="0">P7-Q7</f>
        <v>139.29999999999998</v>
      </c>
      <c r="S7" s="1"/>
      <c r="T7" s="1"/>
      <c r="U7" s="1"/>
      <c r="V7" s="1"/>
      <c r="W7" s="1"/>
      <c r="X7" s="1"/>
      <c r="Y7" s="1"/>
    </row>
    <row r="8" spans="1:39" ht="21">
      <c r="A8" s="212"/>
      <c r="B8" s="213">
        <f>SUM(B6:B7)</f>
        <v>200.8</v>
      </c>
      <c r="C8" s="282">
        <v>13.2</v>
      </c>
      <c r="D8" s="31" t="s">
        <v>53</v>
      </c>
      <c r="E8" s="31">
        <f>(C8*B6)/C4</f>
        <v>13.2</v>
      </c>
      <c r="F8" s="31"/>
      <c r="G8" s="31"/>
      <c r="H8" s="31">
        <f>C8*1.09</f>
        <v>14.388</v>
      </c>
      <c r="I8" s="212" t="s">
        <v>52</v>
      </c>
      <c r="J8" s="211">
        <f>SUM(J6:J7)</f>
        <v>2889.1104</v>
      </c>
      <c r="K8" s="210"/>
      <c r="L8" s="209">
        <f>J8/B8</f>
        <v>14.388</v>
      </c>
      <c r="M8" s="32"/>
      <c r="N8" s="34"/>
      <c r="P8" s="51">
        <v>166.3</v>
      </c>
      <c r="Q8">
        <v>5.8</v>
      </c>
      <c r="R8" s="100">
        <f t="shared" si="0"/>
        <v>160.5</v>
      </c>
      <c r="S8" s="1"/>
      <c r="T8" s="1"/>
      <c r="U8" s="1"/>
      <c r="V8" s="1"/>
      <c r="W8" s="1"/>
      <c r="X8" s="1"/>
      <c r="Y8" s="1"/>
    </row>
    <row r="9" spans="1:39" ht="21.75" thickBot="1">
      <c r="A9" s="206"/>
      <c r="B9" s="208">
        <f>C4-B8</f>
        <v>0</v>
      </c>
      <c r="C9" s="207">
        <f>B9/C4</f>
        <v>0</v>
      </c>
      <c r="D9" s="32"/>
      <c r="E9" s="31"/>
      <c r="F9" s="31"/>
      <c r="G9" s="31"/>
      <c r="H9" s="103"/>
      <c r="I9" s="206"/>
      <c r="J9" s="205"/>
      <c r="K9" s="204"/>
      <c r="L9" s="203">
        <f>L8/1.09</f>
        <v>13.2</v>
      </c>
      <c r="M9" s="32"/>
      <c r="N9" s="32"/>
      <c r="P9" s="51">
        <v>178.2</v>
      </c>
      <c r="Q9">
        <v>5.8</v>
      </c>
      <c r="R9" s="100">
        <f t="shared" si="0"/>
        <v>172.39999999999998</v>
      </c>
      <c r="S9" s="1"/>
      <c r="T9" s="1"/>
      <c r="U9" s="1"/>
      <c r="V9" s="1"/>
      <c r="W9" s="1"/>
      <c r="X9" s="1"/>
      <c r="Y9" s="1"/>
    </row>
    <row r="10" spans="1:39" ht="21.75" thickBot="1">
      <c r="B10" s="53">
        <f>B9/B8</f>
        <v>0</v>
      </c>
      <c r="C10" s="202"/>
      <c r="D10" s="201"/>
      <c r="E10" s="200"/>
      <c r="F10" s="200"/>
      <c r="G10" s="200"/>
      <c r="H10" s="199"/>
      <c r="I10" s="136"/>
      <c r="J10" s="179">
        <v>6.5</v>
      </c>
      <c r="K10" s="179"/>
      <c r="L10" s="198">
        <f>(J10-H10)*E10</f>
        <v>0</v>
      </c>
      <c r="M10" s="197" t="s">
        <v>51</v>
      </c>
      <c r="N10" s="142"/>
      <c r="O10" s="142"/>
      <c r="P10" s="51">
        <v>165.3</v>
      </c>
      <c r="Q10">
        <v>5.8</v>
      </c>
      <c r="R10" s="100">
        <f t="shared" si="0"/>
        <v>159.5</v>
      </c>
      <c r="S10" s="1"/>
      <c r="T10" s="1"/>
      <c r="U10" s="1"/>
      <c r="V10" s="1"/>
      <c r="W10" s="1"/>
      <c r="X10" s="1"/>
      <c r="Y10" s="1"/>
    </row>
    <row r="11" spans="1:39" ht="19.5" thickBot="1">
      <c r="A11" s="24" t="s">
        <v>50</v>
      </c>
      <c r="B11" s="24"/>
      <c r="C11" s="24"/>
      <c r="D11" s="196" t="e">
        <f>E10/D10</f>
        <v>#DIV/0!</v>
      </c>
      <c r="E11" s="98" t="s">
        <v>49</v>
      </c>
      <c r="F11" s="98"/>
      <c r="G11" s="98"/>
      <c r="H11" s="195"/>
      <c r="I11" s="24"/>
      <c r="J11" s="9">
        <f>J13*1.09</f>
        <v>16.895</v>
      </c>
      <c r="K11" s="9"/>
      <c r="L11" s="24"/>
      <c r="M11" s="24"/>
      <c r="O11" s="97"/>
      <c r="P11" s="51">
        <v>157.9</v>
      </c>
      <c r="Q11">
        <v>5.8</v>
      </c>
      <c r="R11" s="100">
        <f t="shared" si="0"/>
        <v>152.1</v>
      </c>
    </row>
    <row r="12" spans="1:39" s="32" customFormat="1" ht="37.5">
      <c r="A12" s="194"/>
      <c r="B12" s="192"/>
      <c r="C12" s="193" t="s">
        <v>48</v>
      </c>
      <c r="D12" s="192"/>
      <c r="E12" s="191" t="s">
        <v>41</v>
      </c>
      <c r="F12" s="191"/>
      <c r="G12" s="191"/>
      <c r="H12" s="190" t="s">
        <v>40</v>
      </c>
      <c r="I12" s="188" t="s">
        <v>37</v>
      </c>
      <c r="J12" s="189" t="s">
        <v>47</v>
      </c>
      <c r="K12" s="189"/>
      <c r="L12" s="188" t="s">
        <v>37</v>
      </c>
      <c r="M12" s="187" t="s">
        <v>36</v>
      </c>
      <c r="N12" s="186" t="s">
        <v>35</v>
      </c>
      <c r="O12" s="185"/>
      <c r="P12" s="51">
        <v>176</v>
      </c>
      <c r="Q12">
        <v>5.8</v>
      </c>
      <c r="R12" s="100">
        <f t="shared" si="0"/>
        <v>170.2</v>
      </c>
    </row>
    <row r="13" spans="1:39" ht="21">
      <c r="A13" s="184">
        <v>1</v>
      </c>
      <c r="B13" s="144" t="s">
        <v>46</v>
      </c>
      <c r="C13" s="183" t="s">
        <v>45</v>
      </c>
      <c r="D13" s="182">
        <f>C5-D10</f>
        <v>5</v>
      </c>
      <c r="E13" s="181">
        <f>C4</f>
        <v>200.8</v>
      </c>
      <c r="F13" s="181"/>
      <c r="G13" s="181"/>
      <c r="H13" s="180">
        <f>C8</f>
        <v>13.2</v>
      </c>
      <c r="I13" s="136">
        <f>((J13)/H13)-1</f>
        <v>0.17424242424242431</v>
      </c>
      <c r="J13" s="179">
        <v>15.5</v>
      </c>
      <c r="K13" s="179">
        <f>J13*1.09</f>
        <v>16.895</v>
      </c>
      <c r="L13" s="133">
        <f>((M13)/H13)-1</f>
        <v>0.25104253544620514</v>
      </c>
      <c r="M13" s="143">
        <f>N13/1.09</f>
        <v>16.513761467889907</v>
      </c>
      <c r="N13" s="178">
        <v>18</v>
      </c>
      <c r="O13" s="142"/>
      <c r="P13" s="51">
        <v>153.1</v>
      </c>
      <c r="Q13">
        <v>5.8</v>
      </c>
      <c r="R13" s="100">
        <f t="shared" si="0"/>
        <v>147.29999999999998</v>
      </c>
    </row>
    <row r="14" spans="1:39" ht="18.75">
      <c r="A14" s="177"/>
      <c r="B14" s="176" t="s">
        <v>44</v>
      </c>
      <c r="C14" s="175" t="s">
        <v>43</v>
      </c>
      <c r="D14" s="174">
        <f>E13/D13</f>
        <v>40.160000000000004</v>
      </c>
      <c r="E14" s="173" t="s">
        <v>42</v>
      </c>
      <c r="F14" s="173"/>
      <c r="G14" s="173"/>
      <c r="H14" s="172">
        <f>E13*H13</f>
        <v>2650.56</v>
      </c>
      <c r="I14" s="171">
        <f>H14*I13</f>
        <v>461.84000000000015</v>
      </c>
      <c r="J14" s="170">
        <f>E13*J13</f>
        <v>3112.4</v>
      </c>
      <c r="K14" s="170"/>
      <c r="L14" s="169">
        <f>H14*L13</f>
        <v>665.40330275229348</v>
      </c>
      <c r="M14" s="168">
        <f>E13*M13</f>
        <v>3315.9633027522937</v>
      </c>
      <c r="N14" s="167">
        <f>E13*N13</f>
        <v>3614.4</v>
      </c>
      <c r="O14" s="166"/>
      <c r="P14" s="51">
        <v>149.1</v>
      </c>
      <c r="Q14">
        <v>5.8</v>
      </c>
      <c r="R14" s="100">
        <f t="shared" si="0"/>
        <v>143.29999999999998</v>
      </c>
    </row>
    <row r="15" spans="1:39" ht="38.25" thickBot="1">
      <c r="A15" s="165"/>
      <c r="B15" s="164"/>
      <c r="C15" s="164"/>
      <c r="D15" s="164"/>
      <c r="E15" s="164" t="s">
        <v>41</v>
      </c>
      <c r="F15" s="164"/>
      <c r="G15" s="164"/>
      <c r="H15" s="163" t="s">
        <v>40</v>
      </c>
      <c r="I15" s="162" t="s">
        <v>37</v>
      </c>
      <c r="J15" s="160" t="s">
        <v>39</v>
      </c>
      <c r="K15" s="161" t="s">
        <v>38</v>
      </c>
      <c r="L15" s="162" t="s">
        <v>37</v>
      </c>
      <c r="M15" s="161" t="s">
        <v>36</v>
      </c>
      <c r="N15" s="160" t="s">
        <v>35</v>
      </c>
      <c r="O15" s="159"/>
      <c r="P15" s="74"/>
      <c r="R15" s="100">
        <f>SUM(R7:R14)</f>
        <v>1244.5999999999999</v>
      </c>
    </row>
    <row r="16" spans="1:39" ht="21.75" thickBot="1">
      <c r="A16" s="158">
        <v>1</v>
      </c>
      <c r="B16" s="157" t="str">
        <f>B13</f>
        <v>PEEX0301</v>
      </c>
      <c r="C16" s="156" t="s">
        <v>72</v>
      </c>
      <c r="D16" s="155">
        <v>1.67E-2</v>
      </c>
      <c r="E16" s="154">
        <f t="shared" ref="E16:E43" si="1">$E$13*D16</f>
        <v>3.3533599999999999</v>
      </c>
      <c r="F16" s="281">
        <f>N16/$H$13</f>
        <v>0.60606060606060608</v>
      </c>
      <c r="G16" s="281">
        <f>F16/1.6</f>
        <v>0.37878787878787878</v>
      </c>
      <c r="H16" s="152">
        <f>G16*$H$13</f>
        <v>5</v>
      </c>
      <c r="I16" s="153">
        <f t="shared" ref="I16:I41" si="2">(J16/(H16))-1</f>
        <v>0.39999999999999991</v>
      </c>
      <c r="J16" s="152">
        <v>7</v>
      </c>
      <c r="K16" s="152">
        <f t="shared" ref="K16:K43" si="3">J16*1.09</f>
        <v>7.6300000000000008</v>
      </c>
      <c r="L16" s="151">
        <f t="shared" ref="L16:L42" si="4">((M16)/H16)-1</f>
        <v>0.46788990825688059</v>
      </c>
      <c r="M16" s="150">
        <f t="shared" ref="M16:M42" si="5">N16/1.09</f>
        <v>7.3394495412844032</v>
      </c>
      <c r="N16" s="149">
        <v>8</v>
      </c>
      <c r="O16" s="148"/>
      <c r="P16" s="149">
        <f>N16/1.6</f>
        <v>5</v>
      </c>
    </row>
    <row r="17" spans="1:16" ht="21.75" thickBot="1">
      <c r="A17" s="145"/>
      <c r="B17" s="144"/>
      <c r="C17" s="147" t="s">
        <v>73</v>
      </c>
      <c r="D17" s="138">
        <v>3.2599999999999997E-2</v>
      </c>
      <c r="E17" s="137">
        <f t="shared" si="1"/>
        <v>6.5460799999999999</v>
      </c>
      <c r="F17" s="281">
        <f t="shared" ref="F17:F45" si="6">N17/$H$13</f>
        <v>0.22727272727272729</v>
      </c>
      <c r="G17" s="281">
        <f t="shared" ref="G17:G45" si="7">F17/1.6</f>
        <v>0.14204545454545456</v>
      </c>
      <c r="H17" s="152">
        <f t="shared" ref="H17:H45" si="8">G17*$H$13</f>
        <v>1.875</v>
      </c>
      <c r="I17" s="136">
        <f t="shared" si="2"/>
        <v>6.6666666666666652E-2</v>
      </c>
      <c r="J17" s="134">
        <v>2</v>
      </c>
      <c r="K17" s="134">
        <f t="shared" si="3"/>
        <v>2.1800000000000002</v>
      </c>
      <c r="L17" s="133">
        <f t="shared" si="4"/>
        <v>0.46788990825688059</v>
      </c>
      <c r="M17" s="143">
        <f t="shared" si="5"/>
        <v>2.7522935779816513</v>
      </c>
      <c r="N17" s="135">
        <v>3</v>
      </c>
      <c r="O17" s="142"/>
      <c r="P17" s="149">
        <f t="shared" ref="P17:P42" si="9">N17/1.6</f>
        <v>1.875</v>
      </c>
    </row>
    <row r="18" spans="1:16" ht="21.75" thickBot="1">
      <c r="A18" s="145">
        <v>2</v>
      </c>
      <c r="B18" s="144" t="str">
        <f>B16</f>
        <v>PEEX0301</v>
      </c>
      <c r="C18" s="139" t="s">
        <v>32</v>
      </c>
      <c r="D18" s="138">
        <v>0</v>
      </c>
      <c r="E18" s="137">
        <f t="shared" si="1"/>
        <v>0</v>
      </c>
      <c r="F18" s="281">
        <f t="shared" si="6"/>
        <v>0.75757575757575757</v>
      </c>
      <c r="G18" s="281">
        <f t="shared" si="7"/>
        <v>0.47348484848484845</v>
      </c>
      <c r="H18" s="152">
        <f t="shared" si="8"/>
        <v>6.2499999999999991</v>
      </c>
      <c r="I18" s="136">
        <f t="shared" si="2"/>
        <v>0.28000000000000025</v>
      </c>
      <c r="J18" s="134">
        <v>8</v>
      </c>
      <c r="K18" s="134">
        <f t="shared" si="3"/>
        <v>8.7200000000000006</v>
      </c>
      <c r="L18" s="133">
        <f t="shared" si="4"/>
        <v>0.46788990825688104</v>
      </c>
      <c r="M18" s="143">
        <f t="shared" si="5"/>
        <v>9.1743119266055047</v>
      </c>
      <c r="N18" s="135">
        <v>10</v>
      </c>
      <c r="O18" s="142"/>
      <c r="P18" s="149">
        <f t="shared" si="9"/>
        <v>6.25</v>
      </c>
    </row>
    <row r="19" spans="1:16" ht="21.75" thickBot="1">
      <c r="A19" s="145">
        <v>3</v>
      </c>
      <c r="B19" s="144" t="str">
        <f>B18</f>
        <v>PEEX0301</v>
      </c>
      <c r="C19" s="139" t="s">
        <v>74</v>
      </c>
      <c r="D19" s="138">
        <v>2.7300000000000001E-2</v>
      </c>
      <c r="E19" s="137">
        <f t="shared" si="1"/>
        <v>5.4818400000000009</v>
      </c>
      <c r="F19" s="281">
        <f t="shared" si="6"/>
        <v>1.4393939393939394</v>
      </c>
      <c r="G19" s="281">
        <f t="shared" si="7"/>
        <v>0.89962121212121215</v>
      </c>
      <c r="H19" s="152">
        <f t="shared" si="8"/>
        <v>11.875</v>
      </c>
      <c r="I19" s="136">
        <f t="shared" si="2"/>
        <v>0.34736842105263155</v>
      </c>
      <c r="J19" s="134">
        <v>16</v>
      </c>
      <c r="K19" s="134">
        <f t="shared" si="3"/>
        <v>17.440000000000001</v>
      </c>
      <c r="L19" s="133">
        <f t="shared" si="4"/>
        <v>0.46788990825688059</v>
      </c>
      <c r="M19" s="143">
        <f t="shared" si="5"/>
        <v>17.431192660550458</v>
      </c>
      <c r="N19" s="135">
        <v>19</v>
      </c>
      <c r="O19" s="142"/>
      <c r="P19" s="149">
        <f t="shared" si="9"/>
        <v>11.875</v>
      </c>
    </row>
    <row r="20" spans="1:16" ht="21.75" thickBot="1">
      <c r="A20" s="145"/>
      <c r="B20" s="144"/>
      <c r="C20" s="139" t="s">
        <v>30</v>
      </c>
      <c r="D20" s="138">
        <v>1.15E-2</v>
      </c>
      <c r="E20" s="137">
        <f t="shared" si="1"/>
        <v>2.3092000000000001</v>
      </c>
      <c r="F20" s="281">
        <f t="shared" si="6"/>
        <v>1.1363636363636365</v>
      </c>
      <c r="G20" s="281">
        <f t="shared" si="7"/>
        <v>0.71022727272727271</v>
      </c>
      <c r="H20" s="152">
        <f t="shared" si="8"/>
        <v>9.375</v>
      </c>
      <c r="I20" s="136">
        <f t="shared" si="2"/>
        <v>0.38666666666666671</v>
      </c>
      <c r="J20" s="134">
        <v>13</v>
      </c>
      <c r="K20" s="134">
        <f t="shared" si="3"/>
        <v>14.170000000000002</v>
      </c>
      <c r="L20" s="133">
        <f t="shared" si="4"/>
        <v>0.46788990825688059</v>
      </c>
      <c r="M20" s="143">
        <f t="shared" si="5"/>
        <v>13.761467889908255</v>
      </c>
      <c r="N20" s="135">
        <v>15</v>
      </c>
      <c r="O20" s="142"/>
      <c r="P20" s="149">
        <f t="shared" si="9"/>
        <v>9.375</v>
      </c>
    </row>
    <row r="21" spans="1:16" ht="21.75" thickBot="1">
      <c r="A21" s="145">
        <v>4</v>
      </c>
      <c r="B21" s="144" t="str">
        <f>B19</f>
        <v>PEEX0301</v>
      </c>
      <c r="C21" s="139" t="s">
        <v>75</v>
      </c>
      <c r="D21" s="138">
        <v>0.1198</v>
      </c>
      <c r="E21" s="137">
        <f t="shared" si="1"/>
        <v>24.055840000000003</v>
      </c>
      <c r="F21" s="281">
        <f t="shared" si="6"/>
        <v>1.893939393939394</v>
      </c>
      <c r="G21" s="281">
        <f t="shared" si="7"/>
        <v>1.1837121212121211</v>
      </c>
      <c r="H21" s="152">
        <f t="shared" si="8"/>
        <v>15.624999999999998</v>
      </c>
      <c r="I21" s="136">
        <f t="shared" si="2"/>
        <v>0.31200000000000006</v>
      </c>
      <c r="J21" s="134">
        <v>20.5</v>
      </c>
      <c r="K21" s="134">
        <f t="shared" si="3"/>
        <v>22.345000000000002</v>
      </c>
      <c r="L21" s="133">
        <f t="shared" si="4"/>
        <v>0.46788990825688059</v>
      </c>
      <c r="M21" s="143">
        <f t="shared" si="5"/>
        <v>22.935779816513758</v>
      </c>
      <c r="N21" s="135">
        <v>25</v>
      </c>
      <c r="O21" s="142"/>
      <c r="P21" s="149">
        <f t="shared" si="9"/>
        <v>15.625</v>
      </c>
    </row>
    <row r="22" spans="1:16" ht="21.75" thickBot="1">
      <c r="A22" s="145">
        <v>5</v>
      </c>
      <c r="B22" s="144" t="str">
        <f>B21</f>
        <v>PEEX0301</v>
      </c>
      <c r="C22" s="139" t="s">
        <v>76</v>
      </c>
      <c r="D22" s="138">
        <v>5.3699999999999998E-2</v>
      </c>
      <c r="E22" s="137">
        <f t="shared" si="1"/>
        <v>10.782960000000001</v>
      </c>
      <c r="F22" s="281">
        <f t="shared" si="6"/>
        <v>1.893939393939394</v>
      </c>
      <c r="G22" s="281">
        <f t="shared" si="7"/>
        <v>1.1837121212121211</v>
      </c>
      <c r="H22" s="152">
        <f t="shared" si="8"/>
        <v>15.624999999999998</v>
      </c>
      <c r="I22" s="136">
        <f t="shared" si="2"/>
        <v>0.31200000000000006</v>
      </c>
      <c r="J22" s="134">
        <v>20.5</v>
      </c>
      <c r="K22" s="134">
        <f t="shared" si="3"/>
        <v>22.345000000000002</v>
      </c>
      <c r="L22" s="133">
        <f t="shared" si="4"/>
        <v>0.46788990825688059</v>
      </c>
      <c r="M22" s="143">
        <f t="shared" si="5"/>
        <v>22.935779816513758</v>
      </c>
      <c r="N22" s="135">
        <v>25</v>
      </c>
      <c r="O22" s="142"/>
      <c r="P22" s="149">
        <f t="shared" si="9"/>
        <v>15.625</v>
      </c>
    </row>
    <row r="23" spans="1:16" ht="21.75" thickBot="1">
      <c r="A23" s="145"/>
      <c r="B23" s="144"/>
      <c r="C23" s="139" t="s">
        <v>27</v>
      </c>
      <c r="D23" s="138">
        <v>0</v>
      </c>
      <c r="E23" s="137">
        <f t="shared" si="1"/>
        <v>0</v>
      </c>
      <c r="F23" s="281">
        <f t="shared" si="6"/>
        <v>1.8560606060606062</v>
      </c>
      <c r="G23" s="281">
        <f t="shared" si="7"/>
        <v>1.1600378787878789</v>
      </c>
      <c r="H23" s="152">
        <f t="shared" si="8"/>
        <v>15.3125</v>
      </c>
      <c r="I23" s="136">
        <f t="shared" si="2"/>
        <v>0.14285714285714279</v>
      </c>
      <c r="J23" s="134">
        <v>17.5</v>
      </c>
      <c r="K23" s="134">
        <f t="shared" si="3"/>
        <v>19.075000000000003</v>
      </c>
      <c r="L23" s="133">
        <f t="shared" si="4"/>
        <v>0.46788990825688082</v>
      </c>
      <c r="M23" s="143">
        <f t="shared" si="5"/>
        <v>22.477064220183486</v>
      </c>
      <c r="N23" s="135">
        <v>24.5</v>
      </c>
      <c r="O23" s="142"/>
      <c r="P23" s="149">
        <f t="shared" si="9"/>
        <v>15.3125</v>
      </c>
    </row>
    <row r="24" spans="1:16" ht="21.75" thickBot="1">
      <c r="A24" s="145"/>
      <c r="B24" s="144"/>
      <c r="C24" s="139" t="s">
        <v>26</v>
      </c>
      <c r="D24" s="138">
        <v>0</v>
      </c>
      <c r="E24" s="137">
        <f t="shared" si="1"/>
        <v>0</v>
      </c>
      <c r="F24" s="281">
        <f t="shared" si="6"/>
        <v>1.6666666666666667</v>
      </c>
      <c r="G24" s="281">
        <f t="shared" si="7"/>
        <v>1.0416666666666667</v>
      </c>
      <c r="H24" s="152">
        <f t="shared" si="8"/>
        <v>13.75</v>
      </c>
      <c r="I24" s="136">
        <f t="shared" si="2"/>
        <v>9.0909090909090828E-2</v>
      </c>
      <c r="J24" s="134">
        <v>15</v>
      </c>
      <c r="K24" s="134">
        <f t="shared" si="3"/>
        <v>16.350000000000001</v>
      </c>
      <c r="L24" s="133">
        <f t="shared" si="4"/>
        <v>0.46788990825688059</v>
      </c>
      <c r="M24" s="143">
        <f t="shared" si="5"/>
        <v>20.183486238532108</v>
      </c>
      <c r="N24" s="135">
        <v>22</v>
      </c>
      <c r="O24" s="142"/>
      <c r="P24" s="149">
        <f t="shared" si="9"/>
        <v>13.75</v>
      </c>
    </row>
    <row r="25" spans="1:16" ht="21.75" thickBot="1">
      <c r="A25" s="145">
        <v>6</v>
      </c>
      <c r="B25" s="144" t="str">
        <f>B22</f>
        <v>PEEX0301</v>
      </c>
      <c r="C25" s="139" t="s">
        <v>77</v>
      </c>
      <c r="D25" s="138">
        <v>7.0499999999999993E-2</v>
      </c>
      <c r="E25" s="137">
        <f t="shared" si="1"/>
        <v>14.1564</v>
      </c>
      <c r="F25" s="281">
        <f t="shared" si="6"/>
        <v>2.5</v>
      </c>
      <c r="G25" s="281">
        <f t="shared" si="7"/>
        <v>1.5625</v>
      </c>
      <c r="H25" s="152">
        <f t="shared" si="8"/>
        <v>20.625</v>
      </c>
      <c r="I25" s="136">
        <f t="shared" si="2"/>
        <v>0.35757575757575766</v>
      </c>
      <c r="J25" s="134">
        <v>28</v>
      </c>
      <c r="K25" s="134">
        <f t="shared" si="3"/>
        <v>30.520000000000003</v>
      </c>
      <c r="L25" s="133">
        <f t="shared" si="4"/>
        <v>0.46788990825688059</v>
      </c>
      <c r="M25" s="143">
        <f t="shared" si="5"/>
        <v>30.275229357798164</v>
      </c>
      <c r="N25" s="135">
        <v>33</v>
      </c>
      <c r="O25" s="142"/>
      <c r="P25" s="149">
        <f t="shared" si="9"/>
        <v>20.625</v>
      </c>
    </row>
    <row r="26" spans="1:16" ht="21.75" thickBot="1">
      <c r="A26" s="145">
        <v>7</v>
      </c>
      <c r="B26" s="144" t="str">
        <f>B25</f>
        <v>PEEX0301</v>
      </c>
      <c r="C26" s="139" t="s">
        <v>78</v>
      </c>
      <c r="D26" s="138">
        <v>7.22E-2</v>
      </c>
      <c r="E26" s="137">
        <f t="shared" si="1"/>
        <v>14.497760000000001</v>
      </c>
      <c r="F26" s="281">
        <f t="shared" si="6"/>
        <v>2.5</v>
      </c>
      <c r="G26" s="281">
        <f t="shared" si="7"/>
        <v>1.5625</v>
      </c>
      <c r="H26" s="152">
        <f t="shared" si="8"/>
        <v>20.625</v>
      </c>
      <c r="I26" s="136">
        <f t="shared" si="2"/>
        <v>0.35757575757575766</v>
      </c>
      <c r="J26" s="134">
        <v>28</v>
      </c>
      <c r="K26" s="134">
        <f t="shared" si="3"/>
        <v>30.520000000000003</v>
      </c>
      <c r="L26" s="133">
        <f t="shared" si="4"/>
        <v>0.46788990825688059</v>
      </c>
      <c r="M26" s="143">
        <f t="shared" si="5"/>
        <v>30.275229357798164</v>
      </c>
      <c r="N26" s="135">
        <v>33</v>
      </c>
      <c r="O26" s="142"/>
      <c r="P26" s="149">
        <f t="shared" si="9"/>
        <v>20.625</v>
      </c>
    </row>
    <row r="27" spans="1:16" ht="21.75" thickBot="1">
      <c r="A27" s="145">
        <v>8</v>
      </c>
      <c r="B27" s="144" t="str">
        <f>B26</f>
        <v>PEEX0301</v>
      </c>
      <c r="C27" s="139" t="s">
        <v>23</v>
      </c>
      <c r="D27" s="138">
        <v>0</v>
      </c>
      <c r="E27" s="137">
        <f t="shared" si="1"/>
        <v>0</v>
      </c>
      <c r="F27" s="281">
        <f t="shared" si="6"/>
        <v>1.9318181818181819</v>
      </c>
      <c r="G27" s="281">
        <f t="shared" si="7"/>
        <v>1.2073863636363635</v>
      </c>
      <c r="H27" s="152">
        <f t="shared" si="8"/>
        <v>15.937499999999998</v>
      </c>
      <c r="I27" s="136">
        <f t="shared" si="2"/>
        <v>6.0392156862745017E-2</v>
      </c>
      <c r="J27" s="134">
        <v>16.899999999999999</v>
      </c>
      <c r="K27" s="134">
        <f t="shared" si="3"/>
        <v>18.420999999999999</v>
      </c>
      <c r="L27" s="133">
        <f t="shared" si="4"/>
        <v>0.46788990825688082</v>
      </c>
      <c r="M27" s="143">
        <f t="shared" si="5"/>
        <v>23.394495412844034</v>
      </c>
      <c r="N27" s="135">
        <v>25.5</v>
      </c>
      <c r="O27" s="142"/>
      <c r="P27" s="149">
        <f t="shared" si="9"/>
        <v>15.9375</v>
      </c>
    </row>
    <row r="28" spans="1:16" ht="21.75" thickBot="1">
      <c r="A28" s="145">
        <v>9</v>
      </c>
      <c r="B28" s="144" t="str">
        <f>B27</f>
        <v>PEEX0301</v>
      </c>
      <c r="C28" s="139" t="s">
        <v>79</v>
      </c>
      <c r="D28" s="138">
        <v>0.1797</v>
      </c>
      <c r="E28" s="137">
        <f t="shared" si="1"/>
        <v>36.083760000000005</v>
      </c>
      <c r="F28" s="281">
        <f t="shared" si="6"/>
        <v>1.8560606060606062</v>
      </c>
      <c r="G28" s="281">
        <f t="shared" si="7"/>
        <v>1.1600378787878789</v>
      </c>
      <c r="H28" s="152">
        <f t="shared" si="8"/>
        <v>15.3125</v>
      </c>
      <c r="I28" s="136">
        <f t="shared" si="2"/>
        <v>0.30612244897959173</v>
      </c>
      <c r="J28" s="134">
        <v>20</v>
      </c>
      <c r="K28" s="134">
        <f t="shared" si="3"/>
        <v>21.8</v>
      </c>
      <c r="L28" s="133">
        <f t="shared" si="4"/>
        <v>0.46788990825688082</v>
      </c>
      <c r="M28" s="143">
        <f t="shared" si="5"/>
        <v>22.477064220183486</v>
      </c>
      <c r="N28" s="135">
        <v>24.5</v>
      </c>
      <c r="O28" s="142"/>
      <c r="P28" s="149">
        <f t="shared" si="9"/>
        <v>15.3125</v>
      </c>
    </row>
    <row r="29" spans="1:16" ht="21.75" thickBot="1">
      <c r="A29" s="145"/>
      <c r="B29" s="144"/>
      <c r="C29" s="139" t="s">
        <v>21</v>
      </c>
      <c r="D29" s="138">
        <v>0</v>
      </c>
      <c r="E29" s="137">
        <f t="shared" si="1"/>
        <v>0</v>
      </c>
      <c r="F29" s="281">
        <f t="shared" si="6"/>
        <v>1.9696969696969697</v>
      </c>
      <c r="G29" s="281">
        <f t="shared" si="7"/>
        <v>1.231060606060606</v>
      </c>
      <c r="H29" s="152">
        <f t="shared" si="8"/>
        <v>16.249999999999996</v>
      </c>
      <c r="I29" s="136">
        <f t="shared" si="2"/>
        <v>0.2923076923076926</v>
      </c>
      <c r="J29" s="134">
        <v>21</v>
      </c>
      <c r="K29" s="134">
        <f t="shared" si="3"/>
        <v>22.89</v>
      </c>
      <c r="L29" s="133">
        <f t="shared" si="4"/>
        <v>0.46788990825688082</v>
      </c>
      <c r="M29" s="143">
        <f t="shared" si="5"/>
        <v>23.853211009174309</v>
      </c>
      <c r="N29" s="135">
        <v>26</v>
      </c>
      <c r="O29" s="142"/>
      <c r="P29" s="149">
        <f t="shared" si="9"/>
        <v>16.25</v>
      </c>
    </row>
    <row r="30" spans="1:16" ht="21.75" thickBot="1">
      <c r="A30" s="145"/>
      <c r="B30" s="144"/>
      <c r="C30" s="139" t="s">
        <v>20</v>
      </c>
      <c r="D30" s="138">
        <v>0</v>
      </c>
      <c r="E30" s="137">
        <f t="shared" si="1"/>
        <v>0</v>
      </c>
      <c r="F30" s="281">
        <f t="shared" si="6"/>
        <v>2.0833333333333335</v>
      </c>
      <c r="G30" s="281">
        <f t="shared" si="7"/>
        <v>1.3020833333333333</v>
      </c>
      <c r="H30" s="152">
        <f t="shared" si="8"/>
        <v>17.187499999999996</v>
      </c>
      <c r="I30" s="136">
        <f t="shared" si="2"/>
        <v>0.25090909090909119</v>
      </c>
      <c r="J30" s="134">
        <v>21.5</v>
      </c>
      <c r="K30" s="134">
        <f t="shared" si="3"/>
        <v>23.435000000000002</v>
      </c>
      <c r="L30" s="133">
        <f t="shared" si="4"/>
        <v>0.46788990825688104</v>
      </c>
      <c r="M30" s="143">
        <f t="shared" si="5"/>
        <v>25.229357798165136</v>
      </c>
      <c r="N30" s="135">
        <v>27.5</v>
      </c>
      <c r="O30" s="142"/>
      <c r="P30" s="149">
        <f t="shared" si="9"/>
        <v>17.1875</v>
      </c>
    </row>
    <row r="31" spans="1:16" ht="21.75" thickBot="1">
      <c r="A31" s="145">
        <v>10</v>
      </c>
      <c r="B31" s="144" t="str">
        <f>B28</f>
        <v>PEEX0301</v>
      </c>
      <c r="C31" s="139" t="s">
        <v>80</v>
      </c>
      <c r="D31" s="138">
        <v>0.2326</v>
      </c>
      <c r="E31" s="137">
        <f t="shared" si="1"/>
        <v>46.70608</v>
      </c>
      <c r="F31" s="281">
        <f t="shared" si="6"/>
        <v>1.5909090909090911</v>
      </c>
      <c r="G31" s="281">
        <f t="shared" si="7"/>
        <v>0.99431818181818188</v>
      </c>
      <c r="H31" s="152">
        <f t="shared" si="8"/>
        <v>13.125</v>
      </c>
      <c r="I31" s="136">
        <f t="shared" si="2"/>
        <v>0.37142857142857144</v>
      </c>
      <c r="J31" s="134">
        <v>18</v>
      </c>
      <c r="K31" s="134">
        <f t="shared" si="3"/>
        <v>19.62</v>
      </c>
      <c r="L31" s="133">
        <f t="shared" si="4"/>
        <v>0.46788990825688059</v>
      </c>
      <c r="M31" s="143">
        <f t="shared" si="5"/>
        <v>19.266055045871557</v>
      </c>
      <c r="N31" s="135">
        <v>21</v>
      </c>
      <c r="O31" s="142"/>
      <c r="P31" s="149">
        <f t="shared" si="9"/>
        <v>13.125</v>
      </c>
    </row>
    <row r="32" spans="1:16" ht="21.75" thickBot="1">
      <c r="A32" s="145"/>
      <c r="B32" s="144"/>
      <c r="C32" s="139" t="s">
        <v>18</v>
      </c>
      <c r="D32" s="138">
        <v>0</v>
      </c>
      <c r="E32" s="137">
        <f t="shared" si="1"/>
        <v>0</v>
      </c>
      <c r="F32" s="281">
        <f t="shared" si="6"/>
        <v>1.8560606060606062</v>
      </c>
      <c r="G32" s="281">
        <f t="shared" si="7"/>
        <v>1.1600378787878789</v>
      </c>
      <c r="H32" s="152">
        <f t="shared" si="8"/>
        <v>15.3125</v>
      </c>
      <c r="I32" s="136">
        <f t="shared" si="2"/>
        <v>0.17551020408163276</v>
      </c>
      <c r="J32" s="134">
        <v>18</v>
      </c>
      <c r="K32" s="134">
        <f t="shared" si="3"/>
        <v>19.62</v>
      </c>
      <c r="L32" s="133">
        <f t="shared" si="4"/>
        <v>0.46788990825688082</v>
      </c>
      <c r="M32" s="143">
        <f t="shared" si="5"/>
        <v>22.477064220183486</v>
      </c>
      <c r="N32" s="135">
        <v>24.5</v>
      </c>
      <c r="O32" s="142"/>
      <c r="P32" s="149">
        <f t="shared" si="9"/>
        <v>15.3125</v>
      </c>
    </row>
    <row r="33" spans="1:16" ht="21.75" thickBot="1">
      <c r="A33" s="145">
        <v>11</v>
      </c>
      <c r="B33" s="144" t="str">
        <f>B31</f>
        <v>PEEX0301</v>
      </c>
      <c r="C33" s="146" t="s">
        <v>81</v>
      </c>
      <c r="D33" s="138">
        <v>4.58E-2</v>
      </c>
      <c r="E33" s="137">
        <f t="shared" si="1"/>
        <v>9.1966400000000004</v>
      </c>
      <c r="F33" s="281">
        <f t="shared" si="6"/>
        <v>0.60606060606060608</v>
      </c>
      <c r="G33" s="281">
        <f t="shared" si="7"/>
        <v>0.37878787878787878</v>
      </c>
      <c r="H33" s="152">
        <f>G33*$H$13</f>
        <v>5</v>
      </c>
      <c r="I33" s="136">
        <f t="shared" si="2"/>
        <v>0.35999999999999988</v>
      </c>
      <c r="J33" s="134">
        <v>6.8</v>
      </c>
      <c r="K33" s="134">
        <f t="shared" si="3"/>
        <v>7.4119999999999999</v>
      </c>
      <c r="L33" s="133">
        <f t="shared" si="4"/>
        <v>0.46788990825688059</v>
      </c>
      <c r="M33" s="143">
        <f t="shared" si="5"/>
        <v>7.3394495412844032</v>
      </c>
      <c r="N33" s="135">
        <v>8</v>
      </c>
      <c r="O33" s="142"/>
      <c r="P33" s="149">
        <f t="shared" si="9"/>
        <v>5</v>
      </c>
    </row>
    <row r="34" spans="1:16" ht="21.75" thickBot="1">
      <c r="A34" s="145"/>
      <c r="B34" s="144"/>
      <c r="C34" s="146" t="s">
        <v>82</v>
      </c>
      <c r="D34" s="138">
        <v>3.61E-2</v>
      </c>
      <c r="E34" s="137">
        <f t="shared" si="1"/>
        <v>7.2488800000000007</v>
      </c>
      <c r="F34" s="281">
        <f t="shared" si="6"/>
        <v>0.90909090909090917</v>
      </c>
      <c r="G34" s="281">
        <f t="shared" si="7"/>
        <v>0.56818181818181823</v>
      </c>
      <c r="H34" s="152">
        <f t="shared" si="8"/>
        <v>7.5</v>
      </c>
      <c r="I34" s="136">
        <f t="shared" si="2"/>
        <v>0.33333333333333326</v>
      </c>
      <c r="J34" s="134">
        <v>10</v>
      </c>
      <c r="K34" s="134">
        <f t="shared" si="3"/>
        <v>10.9</v>
      </c>
      <c r="L34" s="133">
        <f t="shared" si="4"/>
        <v>0.46788990825688059</v>
      </c>
      <c r="M34" s="143">
        <f t="shared" si="5"/>
        <v>11.009174311926605</v>
      </c>
      <c r="N34" s="135">
        <v>12</v>
      </c>
      <c r="O34" s="142"/>
      <c r="P34" s="149">
        <f t="shared" si="9"/>
        <v>7.5</v>
      </c>
    </row>
    <row r="35" spans="1:16" ht="21.75" thickBot="1">
      <c r="A35" s="145"/>
      <c r="B35" s="144"/>
      <c r="C35" s="146" t="s">
        <v>15</v>
      </c>
      <c r="D35" s="138">
        <v>0</v>
      </c>
      <c r="E35" s="137">
        <f t="shared" si="1"/>
        <v>0</v>
      </c>
      <c r="F35" s="281">
        <f t="shared" si="6"/>
        <v>1.1363636363636365</v>
      </c>
      <c r="G35" s="281">
        <f t="shared" si="7"/>
        <v>0.71022727272727271</v>
      </c>
      <c r="H35" s="152">
        <f t="shared" si="8"/>
        <v>9.375</v>
      </c>
      <c r="I35" s="136">
        <f t="shared" si="2"/>
        <v>0.28000000000000003</v>
      </c>
      <c r="J35" s="134">
        <v>12</v>
      </c>
      <c r="K35" s="134">
        <f t="shared" si="3"/>
        <v>13.080000000000002</v>
      </c>
      <c r="L35" s="133">
        <f t="shared" si="4"/>
        <v>0.46788990825688059</v>
      </c>
      <c r="M35" s="143">
        <f t="shared" si="5"/>
        <v>13.761467889908255</v>
      </c>
      <c r="N35" s="135">
        <v>15</v>
      </c>
      <c r="O35" s="142"/>
      <c r="P35" s="149">
        <f t="shared" si="9"/>
        <v>9.375</v>
      </c>
    </row>
    <row r="36" spans="1:16" ht="21.75" thickBot="1">
      <c r="A36" s="145">
        <v>12</v>
      </c>
      <c r="B36" s="144" t="str">
        <f>B33</f>
        <v>PEEX0301</v>
      </c>
      <c r="C36" s="146" t="s">
        <v>83</v>
      </c>
      <c r="D36" s="138">
        <v>3.5200000000000002E-2</v>
      </c>
      <c r="E36" s="137">
        <f t="shared" si="1"/>
        <v>7.0681600000000007</v>
      </c>
      <c r="F36" s="281">
        <f t="shared" si="6"/>
        <v>1.0606060606060606</v>
      </c>
      <c r="G36" s="281">
        <f t="shared" si="7"/>
        <v>0.66287878787878785</v>
      </c>
      <c r="H36" s="152">
        <f t="shared" si="8"/>
        <v>8.7499999999999982</v>
      </c>
      <c r="I36" s="136">
        <f t="shared" si="2"/>
        <v>0.25714285714285734</v>
      </c>
      <c r="J36" s="134">
        <v>11</v>
      </c>
      <c r="K36" s="134">
        <f t="shared" si="3"/>
        <v>11.99</v>
      </c>
      <c r="L36" s="133">
        <f t="shared" si="4"/>
        <v>0.46788990825688104</v>
      </c>
      <c r="M36" s="143">
        <f t="shared" si="5"/>
        <v>12.844036697247706</v>
      </c>
      <c r="N36" s="135">
        <v>14</v>
      </c>
      <c r="O36" s="142"/>
      <c r="P36" s="149">
        <f t="shared" si="9"/>
        <v>8.75</v>
      </c>
    </row>
    <row r="37" spans="1:16" ht="21.75" thickBot="1">
      <c r="A37" s="145">
        <v>13</v>
      </c>
      <c r="B37" s="144" t="str">
        <f>B36</f>
        <v>PEEX0301</v>
      </c>
      <c r="C37" s="146" t="s">
        <v>13</v>
      </c>
      <c r="D37" s="138">
        <v>8.8000000000000005E-3</v>
      </c>
      <c r="E37" s="137">
        <f t="shared" si="1"/>
        <v>1.7670400000000002</v>
      </c>
      <c r="F37" s="281">
        <f t="shared" si="6"/>
        <v>0.90909090909090917</v>
      </c>
      <c r="G37" s="281">
        <f t="shared" si="7"/>
        <v>0.56818181818181823</v>
      </c>
      <c r="H37" s="152">
        <f t="shared" si="8"/>
        <v>7.5</v>
      </c>
      <c r="I37" s="136">
        <f t="shared" si="2"/>
        <v>0.46666666666666656</v>
      </c>
      <c r="J37" s="134">
        <v>11</v>
      </c>
      <c r="K37" s="134">
        <f t="shared" si="3"/>
        <v>11.99</v>
      </c>
      <c r="L37" s="133">
        <f t="shared" si="4"/>
        <v>0.46788990825688059</v>
      </c>
      <c r="M37" s="143">
        <f t="shared" si="5"/>
        <v>11.009174311926605</v>
      </c>
      <c r="N37" s="135">
        <v>12</v>
      </c>
      <c r="O37" s="142"/>
      <c r="P37" s="149">
        <f t="shared" si="9"/>
        <v>7.5</v>
      </c>
    </row>
    <row r="38" spans="1:16" ht="21.75" thickBot="1">
      <c r="A38" s="145">
        <v>14</v>
      </c>
      <c r="B38" s="144" t="str">
        <f>B37</f>
        <v>PEEX0301</v>
      </c>
      <c r="C38" s="139" t="s">
        <v>84</v>
      </c>
      <c r="D38" s="138">
        <v>1.06E-2</v>
      </c>
      <c r="E38" s="137">
        <f t="shared" si="1"/>
        <v>2.1284800000000001</v>
      </c>
      <c r="F38" s="281">
        <f t="shared" si="6"/>
        <v>2.7272727272727275</v>
      </c>
      <c r="G38" s="281">
        <f t="shared" si="7"/>
        <v>1.7045454545454546</v>
      </c>
      <c r="H38" s="152">
        <f t="shared" si="8"/>
        <v>22.5</v>
      </c>
      <c r="I38" s="136">
        <f t="shared" si="2"/>
        <v>0.33333333333333326</v>
      </c>
      <c r="J38" s="134">
        <v>30</v>
      </c>
      <c r="K38" s="134">
        <f t="shared" si="3"/>
        <v>32.700000000000003</v>
      </c>
      <c r="L38" s="133">
        <f t="shared" si="4"/>
        <v>0.46788990825688059</v>
      </c>
      <c r="M38" s="143">
        <f t="shared" si="5"/>
        <v>33.027522935779814</v>
      </c>
      <c r="N38" s="135">
        <v>36</v>
      </c>
      <c r="O38" s="142"/>
      <c r="P38" s="149">
        <f t="shared" si="9"/>
        <v>22.5</v>
      </c>
    </row>
    <row r="39" spans="1:16" ht="21.75" thickBot="1">
      <c r="A39" s="145">
        <v>15</v>
      </c>
      <c r="B39" s="144" t="str">
        <f>B38</f>
        <v>PEEX0301</v>
      </c>
      <c r="C39" s="139" t="s">
        <v>11</v>
      </c>
      <c r="D39" s="138">
        <v>0</v>
      </c>
      <c r="E39" s="137">
        <f t="shared" si="1"/>
        <v>0</v>
      </c>
      <c r="F39" s="281">
        <f t="shared" si="6"/>
        <v>1.9696969696969697</v>
      </c>
      <c r="G39" s="281">
        <f t="shared" si="7"/>
        <v>1.231060606060606</v>
      </c>
      <c r="H39" s="152">
        <f t="shared" si="8"/>
        <v>16.249999999999996</v>
      </c>
      <c r="I39" s="136">
        <f t="shared" si="2"/>
        <v>0.16923076923076952</v>
      </c>
      <c r="J39" s="134">
        <v>19</v>
      </c>
      <c r="K39" s="134">
        <f t="shared" si="3"/>
        <v>20.71</v>
      </c>
      <c r="L39" s="133">
        <f t="shared" si="4"/>
        <v>0.46788990825688082</v>
      </c>
      <c r="M39" s="143">
        <f t="shared" si="5"/>
        <v>23.853211009174309</v>
      </c>
      <c r="N39" s="135">
        <v>26</v>
      </c>
      <c r="O39" s="142"/>
      <c r="P39" s="149">
        <f t="shared" si="9"/>
        <v>16.25</v>
      </c>
    </row>
    <row r="40" spans="1:16" ht="21.75" thickBot="1">
      <c r="A40" s="145"/>
      <c r="B40" s="144"/>
      <c r="C40" s="139" t="s">
        <v>10</v>
      </c>
      <c r="D40" s="138">
        <v>0</v>
      </c>
      <c r="E40" s="137">
        <f t="shared" si="1"/>
        <v>0</v>
      </c>
      <c r="F40" s="281">
        <f t="shared" si="6"/>
        <v>1.8560606060606062</v>
      </c>
      <c r="G40" s="281">
        <f t="shared" si="7"/>
        <v>1.1600378787878789</v>
      </c>
      <c r="H40" s="152">
        <f t="shared" si="8"/>
        <v>15.3125</v>
      </c>
      <c r="I40" s="136">
        <f t="shared" si="2"/>
        <v>0.17551020408163276</v>
      </c>
      <c r="J40" s="134">
        <v>18</v>
      </c>
      <c r="K40" s="134">
        <f t="shared" si="3"/>
        <v>19.62</v>
      </c>
      <c r="L40" s="133">
        <f t="shared" si="4"/>
        <v>0.46788990825688082</v>
      </c>
      <c r="M40" s="143">
        <f t="shared" si="5"/>
        <v>22.477064220183486</v>
      </c>
      <c r="N40" s="135">
        <v>24.5</v>
      </c>
      <c r="O40" s="142"/>
      <c r="P40" s="149">
        <f t="shared" si="9"/>
        <v>15.3125</v>
      </c>
    </row>
    <row r="41" spans="1:16" ht="21.75" thickBot="1">
      <c r="A41" s="145"/>
      <c r="B41" s="144"/>
      <c r="C41" s="139" t="s">
        <v>9</v>
      </c>
      <c r="D41" s="138">
        <v>0</v>
      </c>
      <c r="E41" s="137">
        <f t="shared" si="1"/>
        <v>0</v>
      </c>
      <c r="F41" s="281">
        <f t="shared" si="6"/>
        <v>1.893939393939394</v>
      </c>
      <c r="G41" s="281">
        <f t="shared" si="7"/>
        <v>1.1837121212121211</v>
      </c>
      <c r="H41" s="152">
        <f t="shared" si="8"/>
        <v>15.624999999999998</v>
      </c>
      <c r="I41" s="136">
        <f t="shared" si="2"/>
        <v>0.18400000000000016</v>
      </c>
      <c r="J41" s="134">
        <v>18.5</v>
      </c>
      <c r="K41" s="134">
        <f t="shared" si="3"/>
        <v>20.165000000000003</v>
      </c>
      <c r="L41" s="133">
        <f t="shared" si="4"/>
        <v>0.46788990825688059</v>
      </c>
      <c r="M41" s="143">
        <f t="shared" si="5"/>
        <v>22.935779816513758</v>
      </c>
      <c r="N41" s="135">
        <v>25</v>
      </c>
      <c r="O41" s="142"/>
      <c r="P41" s="149">
        <f t="shared" si="9"/>
        <v>15.625</v>
      </c>
    </row>
    <row r="42" spans="1:16" ht="21.75" thickBot="1">
      <c r="A42" s="145"/>
      <c r="B42" s="144"/>
      <c r="C42" s="139" t="s">
        <v>8</v>
      </c>
      <c r="D42" s="138">
        <v>4.41E-2</v>
      </c>
      <c r="E42" s="137">
        <f t="shared" si="1"/>
        <v>8.8552800000000005</v>
      </c>
      <c r="F42" s="281">
        <f t="shared" si="6"/>
        <v>0.15151515151515152</v>
      </c>
      <c r="G42" s="281">
        <f t="shared" si="7"/>
        <v>9.4696969696969696E-2</v>
      </c>
      <c r="H42" s="152">
        <f t="shared" si="8"/>
        <v>1.25</v>
      </c>
      <c r="I42" s="136">
        <f>(J42/(H42))-1</f>
        <v>0.43999999999999995</v>
      </c>
      <c r="J42" s="134">
        <v>1.8</v>
      </c>
      <c r="K42" s="134">
        <f t="shared" si="3"/>
        <v>1.9620000000000002</v>
      </c>
      <c r="L42" s="133">
        <f t="shared" si="4"/>
        <v>0.46788990825688059</v>
      </c>
      <c r="M42" s="143">
        <f t="shared" si="5"/>
        <v>1.8348623853211008</v>
      </c>
      <c r="N42" s="135">
        <v>2</v>
      </c>
      <c r="O42" s="142"/>
      <c r="P42" s="149">
        <f t="shared" si="9"/>
        <v>1.25</v>
      </c>
    </row>
    <row r="43" spans="1:16" ht="21.75" thickBot="1">
      <c r="A43" s="141"/>
      <c r="B43" s="140"/>
      <c r="C43" s="139" t="s">
        <v>7</v>
      </c>
      <c r="D43" s="138">
        <v>2.8E-3</v>
      </c>
      <c r="E43" s="137">
        <f t="shared" si="1"/>
        <v>0.56224000000000007</v>
      </c>
      <c r="F43" s="281">
        <f t="shared" si="6"/>
        <v>0</v>
      </c>
      <c r="G43" s="281">
        <f t="shared" si="7"/>
        <v>0</v>
      </c>
      <c r="H43" s="152">
        <f t="shared" si="8"/>
        <v>0</v>
      </c>
      <c r="I43" s="136"/>
      <c r="J43" s="135">
        <v>0</v>
      </c>
      <c r="K43" s="134">
        <f t="shared" si="3"/>
        <v>0</v>
      </c>
      <c r="L43" s="133"/>
      <c r="M43" s="132"/>
      <c r="N43" s="131"/>
      <c r="O43" s="130"/>
      <c r="P43" s="131"/>
    </row>
    <row r="44" spans="1:16" ht="31.5" thickBot="1">
      <c r="A44" s="129"/>
      <c r="B44" s="128"/>
      <c r="C44" s="127"/>
      <c r="D44" s="278">
        <f>SUM(D16:D43)</f>
        <v>1</v>
      </c>
      <c r="E44" s="126">
        <f>SUM(E16:E43)</f>
        <v>200.8</v>
      </c>
      <c r="F44" s="281">
        <f>N44/$H$13</f>
        <v>321.34465151515155</v>
      </c>
      <c r="G44" s="281">
        <f t="shared" si="7"/>
        <v>200.84040719696972</v>
      </c>
      <c r="H44" s="152">
        <f>SUMPRODUCT(E16:E43,H16:H43)</f>
        <v>2651.0933750000004</v>
      </c>
      <c r="I44" s="125"/>
      <c r="J44" s="124">
        <f>SUMPRODUCT($E$16:$E$43,$J$16:$J$43)</f>
        <v>3545.1982960000009</v>
      </c>
      <c r="K44" s="124">
        <f>SUMPRODUCT($E$16:$E$43,$K$16:$K$43)</f>
        <v>3864.2661426400005</v>
      </c>
      <c r="L44" s="123"/>
      <c r="M44" s="122">
        <f>SUMPRODUCT(E16:E43,M16:M43)</f>
        <v>3891.513211009174</v>
      </c>
      <c r="N44" s="121">
        <f>SUMPRODUCT(E16:E43,N16:N43)</f>
        <v>4241.7494000000006</v>
      </c>
      <c r="O44" s="120"/>
      <c r="P44" s="121">
        <f>SUMPRODUCT(E16:E43,P16:P43)</f>
        <v>2651.0933750000004</v>
      </c>
    </row>
    <row r="45" spans="1:16" ht="21">
      <c r="A45" s="65"/>
      <c r="B45" s="65"/>
      <c r="C45" s="65" t="s">
        <v>6</v>
      </c>
      <c r="D45" s="114" t="s">
        <v>5</v>
      </c>
      <c r="E45" s="119">
        <f>H45/E44</f>
        <v>0</v>
      </c>
      <c r="F45" s="281">
        <f t="shared" si="6"/>
        <v>0</v>
      </c>
      <c r="G45" s="281">
        <f t="shared" si="7"/>
        <v>0</v>
      </c>
      <c r="H45" s="152">
        <f t="shared" si="8"/>
        <v>0</v>
      </c>
      <c r="I45" s="118"/>
      <c r="J45" s="118"/>
      <c r="K45" s="118"/>
      <c r="L45" s="49"/>
      <c r="M45" s="65"/>
    </row>
    <row r="46" spans="1:16" ht="21">
      <c r="A46" s="65"/>
      <c r="C46" s="56" t="s">
        <v>4</v>
      </c>
      <c r="D46" s="32"/>
      <c r="E46" s="40"/>
      <c r="F46" s="40"/>
      <c r="G46" s="40"/>
      <c r="H46" s="9"/>
      <c r="I46" s="40"/>
      <c r="J46" s="40">
        <f>J44-H44</f>
        <v>894.10492100000056</v>
      </c>
      <c r="K46" s="40"/>
      <c r="L46" s="116">
        <f>J46/$E$13</f>
        <v>4.4527137500000027</v>
      </c>
      <c r="M46" s="40">
        <f>(M44)-(H44)</f>
        <v>1240.4198360091737</v>
      </c>
      <c r="N46" s="116">
        <f>M46/$E$13</f>
        <v>6.1773896215596293</v>
      </c>
      <c r="O46" s="44"/>
      <c r="P46" s="43"/>
    </row>
    <row r="47" spans="1:16" ht="21">
      <c r="C47" s="56" t="s">
        <v>3</v>
      </c>
      <c r="D47" s="32"/>
      <c r="E47" s="61"/>
      <c r="F47" s="61"/>
      <c r="G47" s="61"/>
      <c r="H47" s="32"/>
      <c r="I47" s="61"/>
      <c r="J47" s="61">
        <f>J44/H44-1</f>
        <v>0.33725893226978498</v>
      </c>
      <c r="K47" s="61"/>
      <c r="L47" s="59"/>
      <c r="M47" s="61">
        <f>(M44)/(H44)-1</f>
        <v>0.46788990825688037</v>
      </c>
      <c r="N47" s="61"/>
      <c r="O47" s="44"/>
      <c r="P47" s="43"/>
    </row>
    <row r="48" spans="1:16" ht="21">
      <c r="C48" s="56" t="s">
        <v>2</v>
      </c>
      <c r="D48" s="117"/>
      <c r="E48" s="45"/>
      <c r="F48" s="45"/>
      <c r="G48" s="45"/>
      <c r="H48" s="32"/>
      <c r="I48" s="117">
        <f>[1]KOLTSEGEK!B27</f>
        <v>7.9729729729729728</v>
      </c>
      <c r="J48" s="45">
        <f>E13*I48</f>
        <v>1600.9729729729731</v>
      </c>
      <c r="K48" s="45"/>
      <c r="L48" s="117">
        <f>[1]KOLTSEGEK!B37</f>
        <v>0.52100000000000002</v>
      </c>
      <c r="M48" s="59">
        <f>(L48+I48)*E13</f>
        <v>1705.5897729729729</v>
      </c>
      <c r="N48" s="59"/>
      <c r="O48" s="44"/>
      <c r="P48" s="43"/>
    </row>
    <row r="49" spans="1:35" ht="21">
      <c r="C49" s="56" t="s">
        <v>1</v>
      </c>
      <c r="D49" s="32"/>
      <c r="E49" s="40"/>
      <c r="F49" s="40"/>
      <c r="G49" s="40"/>
      <c r="H49" s="32"/>
      <c r="I49" s="71"/>
      <c r="J49" s="40">
        <f>J46-J48</f>
        <v>-706.86805197297258</v>
      </c>
      <c r="K49" s="40"/>
      <c r="L49" s="116">
        <f>J49/$E$13</f>
        <v>-3.520259222972971</v>
      </c>
      <c r="M49" s="40">
        <f>M46-M48</f>
        <v>-465.16993696379927</v>
      </c>
      <c r="N49" s="116">
        <f>M49/$E$13</f>
        <v>-2.3165833514133429</v>
      </c>
      <c r="O49" s="44"/>
      <c r="P49" s="43"/>
    </row>
    <row r="50" spans="1:35" ht="18.75">
      <c r="C50" s="56" t="s">
        <v>0</v>
      </c>
      <c r="D50" s="32"/>
      <c r="E50" s="35"/>
      <c r="F50" s="35"/>
      <c r="G50" s="35"/>
      <c r="H50" s="32"/>
      <c r="I50" s="59"/>
      <c r="J50" s="35">
        <f>J49/H44</f>
        <v>-0.26663264999972791</v>
      </c>
      <c r="K50" s="35"/>
      <c r="L50" s="59"/>
      <c r="M50" s="35">
        <f>M49/(H44)</f>
        <v>-0.17546343005130824</v>
      </c>
      <c r="N50" s="35"/>
      <c r="O50" s="39"/>
      <c r="P50" s="38"/>
    </row>
    <row r="51" spans="1:35" ht="18.75">
      <c r="A51" s="24"/>
      <c r="B51" s="65"/>
      <c r="C51" s="24"/>
      <c r="D51" s="16"/>
      <c r="E51" s="115"/>
      <c r="F51" s="115"/>
      <c r="G51" s="115"/>
      <c r="H51" s="24"/>
      <c r="I51" s="47"/>
      <c r="J51" s="47"/>
      <c r="K51" s="47"/>
      <c r="L51" s="47"/>
      <c r="M51" s="25"/>
      <c r="P51" s="38"/>
    </row>
    <row r="52" spans="1:35" ht="18.75">
      <c r="A52" s="24"/>
      <c r="B52" s="65"/>
      <c r="C52" s="24"/>
      <c r="D52" s="114"/>
      <c r="E52" s="113"/>
      <c r="F52" s="113"/>
      <c r="G52" s="113"/>
      <c r="H52" s="112"/>
      <c r="I52" s="66"/>
      <c r="J52" s="66"/>
      <c r="K52" s="66"/>
      <c r="L52" s="66"/>
      <c r="M52" s="65"/>
    </row>
    <row r="53" spans="1:35" ht="21">
      <c r="A53" s="98"/>
      <c r="B53" s="111"/>
      <c r="C53" s="1"/>
      <c r="D53" s="110"/>
      <c r="E53" s="109"/>
      <c r="F53" s="109"/>
      <c r="G53" s="109"/>
      <c r="H53" s="108"/>
      <c r="I53" s="12"/>
      <c r="J53" s="78"/>
      <c r="K53" s="78"/>
      <c r="L53" s="16"/>
      <c r="M53" s="77"/>
    </row>
    <row r="54" spans="1:35" ht="21">
      <c r="A54" s="73"/>
      <c r="B54" s="80"/>
      <c r="C54" s="1"/>
      <c r="D54" s="74"/>
      <c r="E54" s="2"/>
      <c r="F54" s="2"/>
      <c r="G54" s="2"/>
      <c r="H54" s="79"/>
      <c r="I54" s="12"/>
      <c r="J54" s="78"/>
      <c r="K54" s="78"/>
      <c r="L54" s="16"/>
      <c r="M54" s="15"/>
      <c r="N54" s="77"/>
      <c r="O54" s="15"/>
      <c r="P54" s="74"/>
    </row>
    <row r="55" spans="1:35" ht="21">
      <c r="C55" s="97"/>
      <c r="D55" s="105"/>
      <c r="E55" s="1"/>
      <c r="F55" s="1"/>
      <c r="G55" s="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pans="1:35" ht="18.75">
      <c r="C56" s="107"/>
      <c r="D56" s="32"/>
      <c r="E56" s="32"/>
      <c r="F56" s="32"/>
      <c r="G56" s="32"/>
      <c r="H56" s="92"/>
      <c r="I56" s="32"/>
      <c r="J56" s="32"/>
      <c r="K56" s="32"/>
      <c r="L56" s="32"/>
      <c r="M56" s="32"/>
      <c r="N56" s="31"/>
      <c r="O56" s="31"/>
      <c r="P56" s="31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</row>
    <row r="57" spans="1:35" ht="18.75">
      <c r="C57" s="94"/>
      <c r="D57" s="31"/>
      <c r="E57" s="31"/>
      <c r="F57" s="31"/>
      <c r="G57" s="31"/>
      <c r="H57" s="92"/>
      <c r="I57" s="31"/>
      <c r="J57" s="31"/>
      <c r="K57" s="31"/>
      <c r="L57" s="31"/>
      <c r="M57" s="31"/>
      <c r="N57" s="32"/>
      <c r="O57" s="32"/>
      <c r="P57" s="32"/>
      <c r="Y57" s="97"/>
      <c r="AD57" s="97"/>
    </row>
    <row r="58" spans="1:35" ht="18.75">
      <c r="A58" s="95"/>
      <c r="B58" s="100"/>
      <c r="C58" s="94"/>
      <c r="D58" s="95"/>
      <c r="E58" s="31"/>
      <c r="F58" s="31"/>
      <c r="G58" s="31"/>
      <c r="H58" s="92"/>
      <c r="I58" s="71"/>
      <c r="J58" s="32"/>
      <c r="K58" s="32"/>
      <c r="L58" s="31"/>
      <c r="M58" s="32"/>
      <c r="N58" s="31"/>
    </row>
    <row r="59" spans="1:35" ht="21">
      <c r="A59" s="32"/>
      <c r="B59" s="102"/>
      <c r="C59" s="94"/>
      <c r="D59" s="95"/>
      <c r="E59" s="31"/>
      <c r="F59" s="31"/>
      <c r="G59" s="31"/>
      <c r="H59" s="92"/>
      <c r="I59" s="71"/>
      <c r="J59" s="31"/>
      <c r="K59" s="31"/>
      <c r="L59" s="31"/>
      <c r="M59" s="32"/>
      <c r="N59" s="31"/>
      <c r="P59" s="2"/>
    </row>
    <row r="60" spans="1:35" ht="18.75">
      <c r="A60" s="32"/>
      <c r="B60" s="102"/>
      <c r="C60" s="106"/>
      <c r="D60" s="95"/>
      <c r="E60" s="101"/>
      <c r="F60" s="101"/>
      <c r="G60" s="101"/>
      <c r="H60" s="92"/>
      <c r="I60" s="32"/>
      <c r="J60" s="31"/>
      <c r="K60" s="31"/>
      <c r="L60" s="31"/>
      <c r="M60" s="32"/>
      <c r="P60" s="100"/>
    </row>
    <row r="61" spans="1:35" ht="18.75">
      <c r="A61" s="32"/>
      <c r="B61" s="99"/>
      <c r="C61" s="106"/>
      <c r="D61" s="31"/>
      <c r="E61" s="101"/>
      <c r="F61" s="101"/>
      <c r="G61" s="101"/>
      <c r="H61" s="92"/>
      <c r="I61" s="32"/>
      <c r="J61" s="42"/>
      <c r="K61" s="42"/>
      <c r="L61" s="31"/>
      <c r="M61" s="32"/>
    </row>
    <row r="62" spans="1:35" ht="18.75">
      <c r="C62" s="97"/>
      <c r="D62" s="105"/>
      <c r="H62" s="92"/>
      <c r="J62" s="31"/>
      <c r="K62" s="31"/>
    </row>
    <row r="63" spans="1:35" ht="21">
      <c r="C63" s="1"/>
      <c r="D63" s="32"/>
      <c r="E63" s="32"/>
      <c r="F63" s="32"/>
      <c r="G63" s="32"/>
      <c r="H63" s="92"/>
      <c r="I63" s="32"/>
      <c r="J63" s="31"/>
      <c r="K63" s="31"/>
      <c r="L63" s="32"/>
      <c r="M63" s="32"/>
      <c r="N63" s="32"/>
      <c r="O63" s="32"/>
      <c r="P63" s="32"/>
      <c r="Q63" s="32"/>
    </row>
    <row r="64" spans="1:35" ht="18.75">
      <c r="C64" s="95"/>
      <c r="D64" s="31"/>
      <c r="E64" s="31"/>
      <c r="F64" s="31"/>
      <c r="G64" s="31"/>
      <c r="H64" s="92"/>
      <c r="I64" s="31"/>
      <c r="J64" s="31"/>
      <c r="K64" s="31"/>
      <c r="L64" s="31"/>
      <c r="M64" s="31"/>
      <c r="N64" s="31"/>
      <c r="O64" s="31"/>
      <c r="P64" s="31"/>
      <c r="Q64" s="104"/>
    </row>
    <row r="65" spans="1:18" ht="21">
      <c r="A65" s="95"/>
      <c r="B65" s="100"/>
      <c r="C65" s="1"/>
      <c r="D65" s="32"/>
      <c r="E65" s="32"/>
      <c r="F65" s="32"/>
      <c r="G65" s="32"/>
      <c r="H65" s="92"/>
      <c r="I65" s="32"/>
      <c r="J65" s="31"/>
      <c r="K65" s="31"/>
      <c r="L65" s="32"/>
      <c r="M65" s="32"/>
      <c r="N65" s="32"/>
      <c r="O65" s="32"/>
      <c r="P65" s="32"/>
    </row>
    <row r="66" spans="1:18" ht="21">
      <c r="A66" s="32"/>
      <c r="B66" s="102"/>
      <c r="C66" s="1"/>
      <c r="D66" s="32"/>
      <c r="E66" s="103"/>
      <c r="F66" s="103"/>
      <c r="G66" s="103"/>
      <c r="H66" s="92"/>
      <c r="I66" s="32"/>
      <c r="J66" s="31"/>
      <c r="K66" s="31"/>
      <c r="L66" s="31"/>
      <c r="M66" s="32"/>
      <c r="N66" s="31"/>
    </row>
    <row r="67" spans="1:18" ht="21">
      <c r="A67" s="32"/>
      <c r="B67" s="102"/>
      <c r="C67" s="71"/>
      <c r="D67" s="32"/>
      <c r="E67" s="101"/>
      <c r="F67" s="101"/>
      <c r="G67" s="101"/>
      <c r="H67" s="92"/>
      <c r="I67" s="32"/>
      <c r="J67" s="31"/>
      <c r="K67" s="31"/>
      <c r="L67" s="31"/>
      <c r="M67" s="32"/>
      <c r="N67" s="31"/>
      <c r="P67" s="2"/>
      <c r="R67" s="1"/>
    </row>
    <row r="68" spans="1:18" ht="18.75">
      <c r="A68" s="32"/>
      <c r="B68" s="99"/>
      <c r="C68" s="32"/>
      <c r="D68" s="31"/>
      <c r="E68" s="31"/>
      <c r="F68" s="31"/>
      <c r="G68" s="31"/>
      <c r="H68" s="92"/>
      <c r="I68" s="32"/>
      <c r="J68" s="42"/>
      <c r="K68" s="42"/>
      <c r="L68" s="31"/>
      <c r="M68" s="32"/>
      <c r="N68" s="32"/>
      <c r="P68" s="100"/>
    </row>
    <row r="69" spans="1:18" ht="18.75">
      <c r="A69" s="32"/>
      <c r="B69" s="99"/>
      <c r="C69" s="71"/>
      <c r="D69" s="31"/>
      <c r="E69" s="31"/>
      <c r="F69" s="31"/>
      <c r="G69" s="31"/>
      <c r="H69" s="92"/>
      <c r="I69" s="32"/>
      <c r="J69" s="32"/>
      <c r="K69" s="32"/>
      <c r="L69" s="31"/>
      <c r="M69" s="32"/>
      <c r="N69" s="32"/>
    </row>
    <row r="70" spans="1:18" ht="18.75">
      <c r="B70" s="53"/>
      <c r="C70" s="37"/>
      <c r="D70" s="31"/>
      <c r="E70" s="31"/>
      <c r="F70" s="31"/>
      <c r="G70" s="31"/>
      <c r="H70" s="92"/>
      <c r="I70" s="97"/>
      <c r="J70" s="97"/>
      <c r="K70" s="97"/>
      <c r="N70" s="32"/>
    </row>
    <row r="71" spans="1:18" ht="18">
      <c r="A71" s="24"/>
      <c r="B71" s="24"/>
      <c r="C71" s="24"/>
      <c r="D71" s="24"/>
      <c r="E71" s="98"/>
      <c r="F71" s="98"/>
      <c r="G71" s="98"/>
      <c r="H71" s="70"/>
      <c r="I71" s="24"/>
      <c r="J71" s="9"/>
      <c r="K71" s="9"/>
      <c r="L71" s="24"/>
      <c r="M71" s="24"/>
      <c r="O71" s="97"/>
      <c r="P71" s="97"/>
    </row>
    <row r="72" spans="1:18" ht="21">
      <c r="A72" s="20"/>
      <c r="B72" s="20"/>
      <c r="C72" s="20"/>
      <c r="D72" s="20"/>
      <c r="E72" s="20"/>
      <c r="F72" s="20"/>
      <c r="G72" s="20"/>
      <c r="H72" s="96"/>
      <c r="I72" s="18"/>
      <c r="J72" s="23"/>
      <c r="K72" s="23"/>
      <c r="L72" s="22"/>
      <c r="M72" s="21"/>
      <c r="O72" s="95"/>
      <c r="P72" s="95"/>
      <c r="R72" s="2"/>
    </row>
    <row r="73" spans="1:18" ht="21">
      <c r="A73" s="20"/>
      <c r="B73" s="80"/>
      <c r="C73" s="94"/>
      <c r="D73" s="93"/>
      <c r="E73" s="14"/>
      <c r="F73" s="14"/>
      <c r="G73" s="14"/>
      <c r="H73" s="92"/>
      <c r="I73" s="12"/>
      <c r="J73" s="17"/>
      <c r="K73" s="17"/>
      <c r="L73" s="16"/>
      <c r="M73" s="15"/>
      <c r="O73" s="84"/>
      <c r="P73" s="84"/>
      <c r="R73" s="2"/>
    </row>
    <row r="74" spans="1:18" ht="21">
      <c r="B74" s="91"/>
      <c r="C74" s="90"/>
      <c r="D74" s="90"/>
      <c r="E74" s="89"/>
      <c r="F74" s="89"/>
      <c r="G74" s="89"/>
      <c r="H74" s="70"/>
      <c r="I74" s="88"/>
      <c r="J74" s="87"/>
      <c r="K74" s="87"/>
      <c r="L74" s="86"/>
      <c r="M74" s="85"/>
      <c r="O74" s="84"/>
      <c r="P74" s="83"/>
      <c r="R74" s="2"/>
    </row>
    <row r="75" spans="1:18" ht="21">
      <c r="A75" s="20"/>
      <c r="B75" s="20"/>
      <c r="C75" s="20"/>
      <c r="D75" s="20"/>
      <c r="E75" s="20"/>
      <c r="F75" s="20"/>
      <c r="G75" s="20"/>
      <c r="H75" s="82"/>
      <c r="I75" s="22"/>
      <c r="J75" s="23"/>
      <c r="K75" s="23"/>
      <c r="L75" s="22"/>
      <c r="M75" s="21"/>
      <c r="O75" s="74"/>
      <c r="P75" s="74"/>
      <c r="R75" s="2"/>
    </row>
    <row r="76" spans="1:18" ht="21">
      <c r="A76" s="73"/>
      <c r="B76" s="80"/>
      <c r="C76" s="1"/>
      <c r="D76" s="74"/>
      <c r="E76" s="2"/>
      <c r="F76" s="2"/>
      <c r="G76" s="2"/>
      <c r="H76" s="81"/>
      <c r="I76" s="12"/>
      <c r="J76" s="78"/>
      <c r="K76" s="78"/>
      <c r="L76" s="16"/>
      <c r="M76" s="77"/>
      <c r="O76" s="74"/>
      <c r="P76" s="74"/>
      <c r="R76" s="2"/>
    </row>
    <row r="77" spans="1:18" ht="21">
      <c r="A77" s="73"/>
      <c r="B77" s="80"/>
      <c r="C77" s="1"/>
      <c r="D77" s="74"/>
      <c r="E77" s="2"/>
      <c r="F77" s="2"/>
      <c r="G77" s="2"/>
      <c r="H77" s="79"/>
      <c r="I77" s="12"/>
      <c r="J77" s="78"/>
      <c r="K77" s="78"/>
      <c r="L77" s="16"/>
      <c r="M77" s="77"/>
      <c r="O77" s="74"/>
      <c r="P77" s="74"/>
      <c r="R77" s="2"/>
    </row>
    <row r="78" spans="1:18" ht="21">
      <c r="A78" s="73"/>
      <c r="B78" s="80"/>
      <c r="C78" s="1"/>
      <c r="D78" s="74"/>
      <c r="E78" s="2"/>
      <c r="F78" s="2"/>
      <c r="G78" s="2"/>
      <c r="H78" s="79"/>
      <c r="I78" s="12"/>
      <c r="J78" s="78"/>
      <c r="K78" s="78"/>
      <c r="L78" s="16"/>
      <c r="M78" s="77"/>
      <c r="O78" s="74"/>
      <c r="P78" s="74"/>
      <c r="R78" s="2"/>
    </row>
    <row r="79" spans="1:18" ht="21">
      <c r="A79" s="73"/>
      <c r="B79" s="80"/>
      <c r="C79" s="1"/>
      <c r="D79" s="74"/>
      <c r="E79" s="2"/>
      <c r="F79" s="2"/>
      <c r="G79" s="2"/>
      <c r="H79" s="79"/>
      <c r="I79" s="12"/>
      <c r="J79" s="78"/>
      <c r="K79" s="78"/>
      <c r="L79" s="16"/>
      <c r="M79" s="77"/>
      <c r="O79" s="74"/>
      <c r="P79" s="74"/>
      <c r="R79" s="2"/>
    </row>
    <row r="80" spans="1:18" ht="21">
      <c r="A80" s="73"/>
      <c r="B80" s="80"/>
      <c r="C80" s="8"/>
      <c r="D80" s="74"/>
      <c r="E80" s="2"/>
      <c r="F80" s="2"/>
      <c r="G80" s="2"/>
      <c r="H80" s="79"/>
      <c r="I80" s="12"/>
      <c r="J80" s="78"/>
      <c r="K80" s="78"/>
      <c r="L80" s="16"/>
      <c r="M80" s="77"/>
      <c r="O80" s="74"/>
      <c r="P80" s="74"/>
      <c r="R80" s="2"/>
    </row>
    <row r="81" spans="1:18" ht="21">
      <c r="A81" s="73"/>
      <c r="B81" s="58"/>
      <c r="C81" s="33"/>
      <c r="D81" s="55"/>
      <c r="E81" s="76"/>
      <c r="F81" s="76"/>
      <c r="G81" s="76"/>
      <c r="H81" s="55"/>
      <c r="I81" s="75"/>
      <c r="J81" s="72"/>
      <c r="K81" s="72"/>
      <c r="L81" s="75"/>
      <c r="M81" s="50"/>
      <c r="O81" s="74"/>
      <c r="P81" s="74"/>
      <c r="R81" s="2"/>
    </row>
    <row r="82" spans="1:18" ht="21">
      <c r="A82" s="73"/>
      <c r="B82" s="58"/>
      <c r="C82" s="33"/>
      <c r="D82" s="55"/>
      <c r="E82" s="76"/>
      <c r="F82" s="76"/>
      <c r="G82" s="76"/>
      <c r="H82" s="55"/>
      <c r="I82" s="75"/>
      <c r="J82" s="72"/>
      <c r="K82" s="72"/>
      <c r="L82" s="75"/>
      <c r="M82" s="50"/>
      <c r="O82" s="74"/>
      <c r="P82" s="74"/>
      <c r="R82" s="2"/>
    </row>
    <row r="83" spans="1:18" ht="21">
      <c r="A83" s="73"/>
      <c r="B83" s="58"/>
      <c r="C83" s="10"/>
      <c r="D83" s="55"/>
      <c r="E83" s="62"/>
      <c r="F83" s="62"/>
      <c r="G83" s="62"/>
      <c r="H83" s="55"/>
      <c r="I83" s="69"/>
      <c r="J83" s="72"/>
      <c r="K83" s="72"/>
      <c r="L83" s="69"/>
      <c r="M83" s="50"/>
      <c r="O83" s="74"/>
      <c r="P83" s="74"/>
      <c r="R83" s="2"/>
    </row>
    <row r="84" spans="1:18" ht="21">
      <c r="A84" s="73"/>
      <c r="B84" s="58"/>
      <c r="C84" s="10"/>
      <c r="D84" s="55"/>
      <c r="E84" s="62"/>
      <c r="F84" s="62"/>
      <c r="G84" s="62"/>
      <c r="H84" s="55"/>
      <c r="I84" s="69"/>
      <c r="J84" s="72"/>
      <c r="K84" s="72"/>
      <c r="L84" s="69"/>
      <c r="M84" s="50"/>
      <c r="O84" s="74"/>
      <c r="P84" s="74"/>
      <c r="R84" s="2"/>
    </row>
    <row r="85" spans="1:18" ht="21">
      <c r="A85" s="73"/>
      <c r="B85" s="58"/>
      <c r="C85" s="10"/>
      <c r="D85" s="55"/>
      <c r="E85" s="62"/>
      <c r="F85" s="62"/>
      <c r="G85" s="62"/>
      <c r="H85" s="55"/>
      <c r="I85" s="69"/>
      <c r="J85" s="72"/>
      <c r="K85" s="72"/>
      <c r="L85" s="69"/>
      <c r="M85" s="50"/>
      <c r="O85" s="74"/>
      <c r="P85" s="74"/>
      <c r="R85" s="2"/>
    </row>
    <row r="86" spans="1:18" ht="21">
      <c r="A86" s="73"/>
      <c r="B86" s="58"/>
      <c r="C86" s="10"/>
      <c r="D86" s="55"/>
      <c r="E86" s="62"/>
      <c r="F86" s="62"/>
      <c r="G86" s="62"/>
      <c r="H86" s="55"/>
      <c r="I86" s="69"/>
      <c r="J86" s="72"/>
      <c r="K86" s="72"/>
      <c r="L86" s="69"/>
      <c r="M86" s="50"/>
      <c r="O86" s="74"/>
      <c r="P86" s="74"/>
      <c r="R86" s="2"/>
    </row>
    <row r="87" spans="1:18" ht="21">
      <c r="A87" s="73"/>
      <c r="B87" s="58"/>
      <c r="C87" s="10"/>
      <c r="D87" s="55"/>
      <c r="E87" s="62"/>
      <c r="F87" s="62"/>
      <c r="G87" s="62"/>
      <c r="H87" s="55"/>
      <c r="I87" s="69"/>
      <c r="J87" s="72"/>
      <c r="K87" s="72"/>
      <c r="L87" s="69"/>
      <c r="M87" s="50"/>
      <c r="O87" s="74"/>
      <c r="P87" s="74"/>
      <c r="R87" s="2"/>
    </row>
    <row r="88" spans="1:18" ht="21">
      <c r="A88" s="73"/>
      <c r="B88" s="58"/>
      <c r="C88" s="10"/>
      <c r="D88" s="55"/>
      <c r="E88" s="62"/>
      <c r="F88" s="62"/>
      <c r="G88" s="62"/>
      <c r="H88" s="55"/>
      <c r="I88" s="69"/>
      <c r="J88" s="72"/>
      <c r="K88" s="72"/>
      <c r="L88" s="69"/>
      <c r="M88" s="50"/>
      <c r="O88" s="74"/>
      <c r="P88" s="74"/>
      <c r="R88" s="2"/>
    </row>
    <row r="89" spans="1:18" ht="21">
      <c r="A89" s="73"/>
      <c r="B89" s="58"/>
      <c r="C89" s="10"/>
      <c r="D89" s="55"/>
      <c r="E89" s="62"/>
      <c r="F89" s="62"/>
      <c r="G89" s="62"/>
      <c r="H89" s="55"/>
      <c r="I89" s="69"/>
      <c r="J89" s="72"/>
      <c r="K89" s="72"/>
      <c r="L89" s="69"/>
      <c r="M89" s="50"/>
      <c r="O89" s="74"/>
      <c r="P89" s="74"/>
      <c r="R89" s="2"/>
    </row>
    <row r="90" spans="1:18" ht="21">
      <c r="A90" s="73"/>
      <c r="B90" s="58"/>
      <c r="C90" s="10"/>
      <c r="D90" s="55"/>
      <c r="E90" s="62"/>
      <c r="F90" s="62"/>
      <c r="G90" s="62"/>
      <c r="H90" s="55"/>
      <c r="I90" s="69"/>
      <c r="J90" s="72"/>
      <c r="K90" s="72"/>
      <c r="L90" s="69"/>
      <c r="M90" s="50"/>
      <c r="O90" s="74"/>
      <c r="P90" s="74"/>
      <c r="R90" s="2"/>
    </row>
    <row r="91" spans="1:18" ht="21">
      <c r="A91" s="73"/>
      <c r="B91" s="58"/>
      <c r="C91" s="10"/>
      <c r="D91" s="55"/>
      <c r="E91" s="62"/>
      <c r="F91" s="62"/>
      <c r="G91" s="62"/>
      <c r="H91" s="55"/>
      <c r="I91" s="69"/>
      <c r="J91" s="72"/>
      <c r="K91" s="72"/>
      <c r="L91" s="69"/>
      <c r="M91" s="50"/>
      <c r="O91" s="74"/>
      <c r="P91" s="74"/>
    </row>
    <row r="92" spans="1:18" ht="21">
      <c r="A92" s="73"/>
      <c r="B92" s="58"/>
      <c r="C92" s="10"/>
      <c r="D92" s="55"/>
      <c r="E92" s="62"/>
      <c r="F92" s="62"/>
      <c r="G92" s="62"/>
      <c r="H92" s="55"/>
      <c r="I92" s="69"/>
      <c r="J92" s="72"/>
      <c r="K92" s="72"/>
      <c r="L92" s="69"/>
      <c r="M92" s="50"/>
      <c r="O92" s="74"/>
      <c r="P92" s="74"/>
    </row>
    <row r="93" spans="1:18" ht="21">
      <c r="A93" s="73"/>
      <c r="B93" s="58"/>
      <c r="C93" s="10"/>
      <c r="D93" s="55"/>
      <c r="E93" s="62"/>
      <c r="F93" s="62"/>
      <c r="G93" s="62"/>
      <c r="H93" s="55"/>
      <c r="I93" s="69"/>
      <c r="J93" s="72"/>
      <c r="K93" s="72"/>
      <c r="L93" s="69"/>
      <c r="M93" s="50"/>
      <c r="O93" s="74"/>
      <c r="P93" s="74"/>
    </row>
    <row r="94" spans="1:18" ht="21">
      <c r="A94" s="73"/>
      <c r="B94" s="58"/>
      <c r="C94" s="10"/>
      <c r="D94" s="55"/>
      <c r="E94" s="62"/>
      <c r="F94" s="62"/>
      <c r="G94" s="62"/>
      <c r="H94" s="55"/>
      <c r="I94" s="69"/>
      <c r="J94" s="72"/>
      <c r="K94" s="72"/>
      <c r="L94" s="69"/>
      <c r="M94" s="50"/>
      <c r="O94" s="71"/>
      <c r="P94" s="71"/>
    </row>
    <row r="95" spans="1:18" ht="21">
      <c r="A95" s="73"/>
      <c r="B95" s="58"/>
      <c r="C95" s="10"/>
      <c r="D95" s="55"/>
      <c r="E95" s="62"/>
      <c r="F95" s="62"/>
      <c r="G95" s="62"/>
      <c r="H95" s="55"/>
      <c r="I95" s="69"/>
      <c r="J95" s="72"/>
      <c r="K95" s="72"/>
      <c r="L95" s="69"/>
      <c r="M95" s="50"/>
      <c r="O95" s="71"/>
      <c r="P95" s="71"/>
    </row>
    <row r="96" spans="1:18" ht="21">
      <c r="A96" s="24"/>
      <c r="B96" s="58"/>
      <c r="C96" s="11"/>
      <c r="D96" s="55"/>
      <c r="E96" s="62"/>
      <c r="F96" s="62"/>
      <c r="G96" s="62"/>
      <c r="H96" s="55"/>
      <c r="I96" s="69"/>
      <c r="J96" s="70"/>
      <c r="K96" s="70"/>
      <c r="L96" s="69"/>
      <c r="M96" s="50"/>
      <c r="O96" s="32"/>
      <c r="P96" s="1"/>
    </row>
    <row r="97" spans="1:16" ht="21">
      <c r="A97" s="24"/>
      <c r="B97" s="58"/>
      <c r="C97" s="11"/>
      <c r="D97" s="55"/>
      <c r="E97" s="62"/>
      <c r="F97" s="62"/>
      <c r="G97" s="62"/>
      <c r="H97" s="55"/>
      <c r="I97" s="69"/>
      <c r="J97" s="70"/>
      <c r="K97" s="70"/>
      <c r="L97" s="69"/>
      <c r="M97" s="50"/>
      <c r="O97" s="32"/>
      <c r="P97" s="1"/>
    </row>
    <row r="98" spans="1:16" ht="21">
      <c r="A98" s="24"/>
      <c r="B98" s="58"/>
      <c r="C98" s="11"/>
      <c r="D98" s="55"/>
      <c r="E98" s="62"/>
      <c r="F98" s="62"/>
      <c r="G98" s="62"/>
      <c r="H98" s="55"/>
      <c r="I98" s="68"/>
      <c r="J98" s="67"/>
      <c r="K98" s="67"/>
      <c r="L98" s="66"/>
      <c r="M98" s="50"/>
      <c r="O98" s="32"/>
      <c r="P98" s="1"/>
    </row>
    <row r="99" spans="1:16" ht="21">
      <c r="A99" s="65"/>
      <c r="B99" s="58"/>
      <c r="C99" s="11"/>
      <c r="D99" s="55"/>
      <c r="E99" s="54"/>
      <c r="F99" s="54"/>
      <c r="G99" s="54"/>
      <c r="H99" s="55"/>
      <c r="I99" s="66"/>
      <c r="J99" s="67"/>
      <c r="K99" s="67"/>
      <c r="L99" s="66"/>
      <c r="M99" s="50"/>
    </row>
    <row r="100" spans="1:16" ht="21">
      <c r="A100" s="65"/>
      <c r="B100" s="58"/>
      <c r="C100" s="10"/>
      <c r="D100" s="55"/>
      <c r="E100" s="62"/>
      <c r="F100" s="62"/>
      <c r="G100" s="62"/>
      <c r="H100" s="55"/>
      <c r="I100" s="64"/>
      <c r="J100" s="52"/>
      <c r="K100" s="52"/>
      <c r="L100" s="64"/>
      <c r="M100" s="50"/>
      <c r="N100" s="63"/>
      <c r="O100" s="44"/>
      <c r="P100" s="43"/>
    </row>
    <row r="101" spans="1:16" ht="21">
      <c r="B101" s="58"/>
      <c r="C101" s="10"/>
      <c r="D101" s="55"/>
      <c r="E101" s="62"/>
      <c r="F101" s="62"/>
      <c r="G101" s="62"/>
      <c r="H101" s="55"/>
      <c r="I101" s="51"/>
      <c r="J101" s="51"/>
      <c r="K101" s="51"/>
      <c r="L101" s="51"/>
      <c r="M101" s="50"/>
      <c r="N101" s="61"/>
      <c r="O101" s="44"/>
      <c r="P101" s="43"/>
    </row>
    <row r="102" spans="1:16" ht="21">
      <c r="B102" s="58"/>
      <c r="C102" s="10"/>
      <c r="D102" s="55"/>
      <c r="E102" s="62"/>
      <c r="F102" s="62"/>
      <c r="G102" s="62"/>
      <c r="H102" s="55"/>
      <c r="I102" s="51"/>
      <c r="J102" s="51"/>
      <c r="K102" s="51"/>
      <c r="L102" s="51"/>
      <c r="M102" s="50"/>
      <c r="N102" s="61"/>
      <c r="O102" s="44"/>
      <c r="P102" s="43"/>
    </row>
    <row r="103" spans="1:16" ht="21">
      <c r="B103" s="58"/>
      <c r="C103" s="10"/>
      <c r="D103" s="55"/>
      <c r="E103" s="54"/>
      <c r="F103" s="54"/>
      <c r="G103" s="54"/>
      <c r="H103" s="55"/>
      <c r="I103" s="51"/>
      <c r="J103" s="60"/>
      <c r="K103" s="60"/>
      <c r="L103" s="51"/>
      <c r="M103" s="50"/>
      <c r="N103" s="59"/>
      <c r="O103" s="44"/>
      <c r="P103" s="43"/>
    </row>
    <row r="104" spans="1:16" ht="21">
      <c r="B104" s="58"/>
      <c r="C104" s="10"/>
      <c r="D104" s="55"/>
      <c r="E104" s="57"/>
      <c r="F104" s="57"/>
      <c r="G104" s="57"/>
      <c r="H104" s="55"/>
      <c r="I104" s="51"/>
      <c r="J104" s="52"/>
      <c r="K104" s="52"/>
      <c r="L104" s="51"/>
      <c r="M104" s="50"/>
      <c r="N104" s="40"/>
      <c r="O104" s="44"/>
      <c r="P104" s="43"/>
    </row>
    <row r="105" spans="1:16" ht="21">
      <c r="B105" s="53"/>
      <c r="C105" s="56"/>
      <c r="D105" s="55"/>
      <c r="E105" s="54"/>
      <c r="F105" s="54"/>
      <c r="G105" s="54"/>
      <c r="H105" s="53"/>
      <c r="I105" s="51"/>
      <c r="J105" s="52"/>
      <c r="K105" s="52"/>
      <c r="L105" s="51"/>
      <c r="M105" s="50"/>
      <c r="N105" s="35"/>
      <c r="O105" s="39"/>
      <c r="P105" s="38"/>
    </row>
    <row r="106" spans="1:16" ht="21">
      <c r="A106" s="24"/>
      <c r="B106" s="49"/>
      <c r="C106" s="24"/>
      <c r="D106" s="16"/>
      <c r="E106" s="48"/>
      <c r="F106" s="48"/>
      <c r="G106" s="48"/>
      <c r="H106" s="24"/>
      <c r="I106" s="47"/>
      <c r="J106" s="47"/>
      <c r="K106" s="47"/>
      <c r="L106" s="47"/>
      <c r="M106" s="25"/>
      <c r="P106" s="38"/>
    </row>
    <row r="107" spans="1:16" ht="21">
      <c r="A107" s="42"/>
      <c r="B107" s="34"/>
      <c r="C107" s="31"/>
      <c r="D107" s="46"/>
      <c r="E107" s="601"/>
      <c r="F107" s="601"/>
      <c r="G107" s="601"/>
      <c r="H107" s="601"/>
      <c r="I107" s="601"/>
      <c r="J107" s="45"/>
      <c r="K107" s="45"/>
      <c r="L107" s="31"/>
      <c r="M107" s="45"/>
      <c r="N107" s="40"/>
      <c r="O107" s="44"/>
      <c r="P107" s="43"/>
    </row>
    <row r="108" spans="1:16" ht="21">
      <c r="A108" s="42"/>
      <c r="B108" s="34"/>
      <c r="C108" s="41"/>
      <c r="D108" s="31"/>
      <c r="E108" s="601"/>
      <c r="F108" s="601"/>
      <c r="G108" s="601"/>
      <c r="H108" s="601"/>
      <c r="I108" s="601"/>
      <c r="J108" s="40"/>
      <c r="K108" s="40"/>
      <c r="L108" s="31"/>
      <c r="M108" s="40"/>
      <c r="N108" s="35"/>
      <c r="O108" s="39"/>
      <c r="P108" s="38"/>
    </row>
    <row r="109" spans="1:16" ht="21">
      <c r="C109" s="37"/>
      <c r="D109" s="36"/>
      <c r="E109" s="601"/>
      <c r="F109" s="601"/>
      <c r="G109" s="601"/>
      <c r="H109" s="601"/>
      <c r="I109" s="601"/>
      <c r="J109" s="35"/>
      <c r="K109" s="35"/>
      <c r="M109" s="35"/>
    </row>
    <row r="110" spans="1:16" ht="21">
      <c r="B110" s="34"/>
      <c r="C110" s="33"/>
      <c r="D110" s="9"/>
      <c r="E110" s="31"/>
      <c r="F110" s="31"/>
      <c r="G110" s="31"/>
      <c r="H110" s="596"/>
      <c r="I110" s="596"/>
      <c r="J110" s="32"/>
      <c r="K110" s="32"/>
      <c r="L110" s="32"/>
    </row>
    <row r="111" spans="1:16" ht="21">
      <c r="C111" s="10"/>
      <c r="D111" s="9"/>
      <c r="E111" s="31"/>
      <c r="F111" s="31"/>
      <c r="G111" s="31"/>
      <c r="H111" s="32"/>
      <c r="I111" s="32"/>
      <c r="J111" s="32"/>
      <c r="K111" s="32"/>
      <c r="L111" s="32"/>
    </row>
    <row r="112" spans="1:16" ht="21">
      <c r="C112" s="10"/>
      <c r="D112" s="9"/>
      <c r="E112" s="31"/>
      <c r="F112" s="31"/>
      <c r="G112" s="31"/>
      <c r="I112" s="32"/>
      <c r="J112" s="32"/>
      <c r="K112" s="32"/>
      <c r="L112" s="32"/>
    </row>
    <row r="113" spans="1:13" ht="21">
      <c r="A113" s="29"/>
      <c r="B113" s="29"/>
      <c r="C113" s="10"/>
      <c r="D113" s="9"/>
      <c r="E113" s="31"/>
      <c r="F113" s="31"/>
      <c r="G113" s="31"/>
      <c r="H113" s="31"/>
      <c r="J113" s="29"/>
      <c r="K113" s="29"/>
      <c r="L113" s="29"/>
      <c r="M113" s="30"/>
    </row>
    <row r="114" spans="1:13" ht="21">
      <c r="A114" s="29"/>
      <c r="C114" s="10"/>
      <c r="D114" s="9"/>
      <c r="E114" s="29"/>
      <c r="F114" s="29"/>
      <c r="G114" s="29"/>
      <c r="H114" s="29"/>
      <c r="I114" s="29"/>
      <c r="J114" s="26"/>
      <c r="K114" s="26"/>
      <c r="L114" s="26"/>
      <c r="M114" s="28"/>
    </row>
    <row r="115" spans="1:13" ht="21">
      <c r="A115" s="24"/>
      <c r="B115" s="24"/>
      <c r="C115" s="10"/>
      <c r="D115" s="9"/>
      <c r="E115" s="27"/>
      <c r="F115" s="27"/>
      <c r="G115" s="27"/>
      <c r="H115" s="26"/>
      <c r="I115" s="26"/>
      <c r="J115" s="24"/>
      <c r="K115" s="24"/>
      <c r="L115" s="24"/>
      <c r="M115" s="24"/>
    </row>
    <row r="116" spans="1:13" ht="21">
      <c r="A116" s="29"/>
      <c r="B116" s="29"/>
      <c r="C116" s="10"/>
      <c r="D116" s="9"/>
      <c r="E116" s="24"/>
      <c r="F116" s="24"/>
      <c r="G116" s="24"/>
      <c r="H116" s="24"/>
      <c r="I116" s="24"/>
      <c r="J116" s="29"/>
      <c r="K116" s="29"/>
      <c r="L116" s="29"/>
      <c r="M116" s="30"/>
    </row>
    <row r="117" spans="1:13" ht="21">
      <c r="A117" s="29"/>
      <c r="B117" s="3"/>
      <c r="C117" s="10"/>
      <c r="D117" s="9"/>
      <c r="E117" s="29"/>
      <c r="F117" s="29"/>
      <c r="G117" s="29"/>
      <c r="H117" s="29"/>
      <c r="I117" s="29"/>
      <c r="J117" s="26"/>
      <c r="K117" s="26"/>
      <c r="L117" s="26"/>
      <c r="M117" s="28"/>
    </row>
    <row r="118" spans="1:13" ht="21">
      <c r="A118" s="24"/>
      <c r="B118" s="24"/>
      <c r="C118" s="10"/>
      <c r="D118" s="9"/>
      <c r="E118" s="27"/>
      <c r="F118" s="27"/>
      <c r="G118" s="27"/>
      <c r="H118" s="26"/>
      <c r="I118" s="26"/>
      <c r="J118" s="25"/>
      <c r="K118" s="25"/>
      <c r="L118" s="24"/>
      <c r="M118" s="24"/>
    </row>
    <row r="119" spans="1:13" ht="21">
      <c r="A119" s="20"/>
      <c r="B119" s="20"/>
      <c r="C119" s="10"/>
      <c r="D119" s="9"/>
      <c r="E119" s="24"/>
      <c r="F119" s="24"/>
      <c r="G119" s="24"/>
      <c r="H119" s="25"/>
      <c r="I119" s="24"/>
      <c r="J119" s="23"/>
      <c r="K119" s="23"/>
      <c r="L119" s="22"/>
      <c r="M119" s="21"/>
    </row>
    <row r="120" spans="1:13" ht="21">
      <c r="A120" s="20"/>
      <c r="B120" s="14"/>
      <c r="C120" s="11"/>
      <c r="D120" s="9"/>
      <c r="E120" s="20"/>
      <c r="F120" s="20"/>
      <c r="G120" s="20"/>
      <c r="H120" s="19"/>
      <c r="I120" s="18"/>
      <c r="J120" s="17"/>
      <c r="K120" s="17"/>
      <c r="L120" s="16"/>
      <c r="M120" s="15"/>
    </row>
    <row r="121" spans="1:13" ht="21">
      <c r="B121" s="7"/>
      <c r="C121" s="11"/>
      <c r="D121" s="9"/>
      <c r="E121" s="14"/>
      <c r="F121" s="14"/>
      <c r="G121" s="14"/>
      <c r="H121" s="13"/>
      <c r="I121" s="12"/>
    </row>
    <row r="122" spans="1:13" ht="21">
      <c r="B122" s="7"/>
      <c r="C122" s="11"/>
      <c r="D122" s="9"/>
      <c r="E122" s="1"/>
      <c r="F122" s="1"/>
      <c r="G122" s="1"/>
      <c r="H122" s="1"/>
      <c r="I122" s="1"/>
    </row>
    <row r="123" spans="1:13" ht="21">
      <c r="B123" s="7"/>
      <c r="C123" s="10"/>
      <c r="D123" s="9"/>
      <c r="E123" s="1"/>
      <c r="F123" s="1"/>
      <c r="G123" s="1"/>
      <c r="H123" s="1"/>
      <c r="I123" s="1"/>
    </row>
    <row r="124" spans="1:13" ht="21">
      <c r="B124" s="7"/>
      <c r="C124" s="10"/>
      <c r="D124" s="9"/>
      <c r="E124" s="1"/>
      <c r="F124" s="1"/>
      <c r="G124" s="1"/>
      <c r="H124" s="1"/>
      <c r="I124" s="1"/>
    </row>
    <row r="125" spans="1:13" ht="21">
      <c r="B125" s="7"/>
      <c r="C125" s="10"/>
      <c r="D125" s="9"/>
      <c r="E125" s="1"/>
      <c r="F125" s="1"/>
      <c r="G125" s="1"/>
      <c r="H125" s="1"/>
      <c r="I125" s="1"/>
    </row>
    <row r="126" spans="1:13" ht="21">
      <c r="B126" s="7"/>
      <c r="C126" s="8"/>
      <c r="D126" s="1"/>
      <c r="E126" s="1"/>
      <c r="F126" s="1"/>
      <c r="G126" s="1"/>
      <c r="H126" s="1"/>
      <c r="I126" s="1"/>
    </row>
    <row r="127" spans="1:13" ht="21">
      <c r="B127" s="7"/>
      <c r="C127" s="8"/>
      <c r="D127" s="1"/>
      <c r="E127" s="1"/>
      <c r="F127" s="1"/>
      <c r="G127" s="1"/>
      <c r="H127" s="1"/>
      <c r="I127" s="1"/>
    </row>
    <row r="128" spans="1:13" ht="21">
      <c r="B128" s="7"/>
      <c r="C128" s="1"/>
      <c r="D128" s="1"/>
      <c r="E128" s="1"/>
      <c r="F128" s="1"/>
      <c r="G128" s="1"/>
      <c r="H128" s="1"/>
      <c r="I128" s="1"/>
    </row>
    <row r="129" spans="2:9" ht="21">
      <c r="B129" s="7"/>
      <c r="C129" s="1"/>
      <c r="D129" s="1"/>
      <c r="E129" s="1"/>
      <c r="F129" s="1"/>
      <c r="G129" s="1"/>
      <c r="H129" s="1"/>
      <c r="I129" s="1"/>
    </row>
    <row r="130" spans="2:9" ht="21">
      <c r="B130" s="7"/>
      <c r="C130" s="1"/>
      <c r="D130" s="1"/>
      <c r="E130" s="1"/>
      <c r="F130" s="1"/>
      <c r="G130" s="1"/>
      <c r="H130" s="1"/>
      <c r="I130" s="1"/>
    </row>
    <row r="131" spans="2:9" ht="21">
      <c r="B131" s="7"/>
      <c r="C131" s="1"/>
      <c r="D131" s="1"/>
      <c r="H131" s="1"/>
      <c r="I131" s="1"/>
    </row>
    <row r="132" spans="2:9" ht="21">
      <c r="B132" s="7"/>
      <c r="C132" s="1"/>
      <c r="D132" s="1"/>
      <c r="E132" s="1"/>
      <c r="F132" s="1"/>
      <c r="G132" s="1"/>
      <c r="H132" s="1"/>
      <c r="I132" s="1"/>
    </row>
    <row r="133" spans="2:9" ht="21">
      <c r="B133" s="7"/>
      <c r="C133" s="1"/>
      <c r="D133" s="1"/>
      <c r="E133" s="1"/>
      <c r="F133" s="1"/>
      <c r="G133" s="1"/>
      <c r="H133" s="1"/>
      <c r="I133" s="1"/>
    </row>
    <row r="134" spans="2:9" ht="21">
      <c r="B134" s="7"/>
      <c r="C134" s="1"/>
      <c r="D134" s="1"/>
      <c r="E134" s="1"/>
      <c r="F134" s="1"/>
      <c r="G134" s="1"/>
      <c r="H134" s="1"/>
      <c r="I134" s="1"/>
    </row>
    <row r="135" spans="2:9" ht="21">
      <c r="B135" s="7"/>
      <c r="C135" s="1"/>
      <c r="D135" s="1"/>
      <c r="E135" s="1"/>
      <c r="F135" s="1"/>
      <c r="G135" s="1"/>
    </row>
    <row r="136" spans="2:9" ht="21">
      <c r="B136" s="7"/>
      <c r="C136" s="1"/>
      <c r="D136" s="1"/>
      <c r="E136" s="1"/>
      <c r="F136" s="1"/>
      <c r="G136" s="1"/>
    </row>
    <row r="137" spans="2:9" ht="21">
      <c r="B137" s="7"/>
      <c r="C137" s="1"/>
      <c r="D137" s="1"/>
      <c r="E137" s="1"/>
      <c r="F137" s="1"/>
      <c r="G137" s="1"/>
    </row>
    <row r="138" spans="2:9" ht="21">
      <c r="B138" s="6"/>
      <c r="C138" s="5"/>
    </row>
    <row r="141" spans="2:9" ht="21">
      <c r="B141" s="4"/>
    </row>
    <row r="142" spans="2:9" ht="21">
      <c r="B142" s="3"/>
      <c r="C142" s="1"/>
    </row>
    <row r="158" spans="8:12" ht="21">
      <c r="H158" s="1"/>
      <c r="I158" s="1"/>
      <c r="J158" s="1"/>
      <c r="K158" s="1"/>
      <c r="L158" s="1"/>
    </row>
    <row r="159" spans="8:12" ht="21">
      <c r="H159" s="1"/>
      <c r="I159" s="1"/>
      <c r="J159" s="1"/>
      <c r="K159" s="1"/>
      <c r="L159" s="1"/>
    </row>
    <row r="160" spans="8:12" ht="21">
      <c r="H160" s="1"/>
      <c r="I160" s="1"/>
      <c r="J160" s="2"/>
      <c r="K160" s="2"/>
      <c r="L160" s="1"/>
    </row>
    <row r="161" spans="8:12" ht="21">
      <c r="H161" s="1"/>
      <c r="I161" s="1"/>
      <c r="J161" s="2"/>
      <c r="K161" s="2"/>
      <c r="L161" s="1"/>
    </row>
    <row r="162" spans="8:12" ht="21">
      <c r="H162" s="1"/>
      <c r="I162" s="1"/>
      <c r="J162" s="1"/>
      <c r="K162" s="1"/>
      <c r="L162" s="1"/>
    </row>
    <row r="163" spans="8:12" ht="21">
      <c r="H163" s="1"/>
      <c r="I163" s="1"/>
      <c r="J163" s="1"/>
      <c r="K163" s="1"/>
      <c r="L163" s="1"/>
    </row>
    <row r="164" spans="8:12" ht="21">
      <c r="H164" s="1"/>
      <c r="I164" s="1"/>
      <c r="J164" s="1"/>
      <c r="K164" s="1"/>
      <c r="L164" s="1"/>
    </row>
    <row r="165" spans="8:12" ht="21">
      <c r="H165" s="1"/>
      <c r="I165" s="1"/>
      <c r="J165" s="1"/>
      <c r="K165" s="1"/>
      <c r="L165" s="1"/>
    </row>
    <row r="166" spans="8:12" ht="21">
      <c r="H166" s="1"/>
      <c r="I166" s="1"/>
      <c r="J166" s="1"/>
      <c r="K166" s="1"/>
      <c r="L166" s="1"/>
    </row>
  </sheetData>
  <mergeCells count="7">
    <mergeCell ref="E109:I109"/>
    <mergeCell ref="H110:I110"/>
    <mergeCell ref="D1:E1"/>
    <mergeCell ref="H1:I1"/>
    <mergeCell ref="H2:J2"/>
    <mergeCell ref="E107:I107"/>
    <mergeCell ref="E108:I108"/>
  </mergeCells>
  <conditionalFormatting sqref="L16:L43 I28:J30 N28:N30 I36:J38 N36:N44 J39:J43 O43 M43:M44 E46:G46 I46:K46 M46 E49:G50 J49:K50 M49:M50 N50 J54:M54 I55 I57:M57 J58:M58 J59:K59 M59 I60:M61 J62:K62 M62 J63:M63 I64:K64 M64 I66 L66 J66:K67 M66:M67 N68:N69 J69:K70 M69:M70 J78:M78 I79 J83:L83 I84:K85 I86:L89 J90:K90 J91:L93 I91:I95 L94:L95 J94:K99 E98:G99 N98:N99 I100:L100 E103:G103 N104:N105 J104:K106 E105:G105 M106 N107:N108 J108:K109 M108:M109 D118 D121:D125">
    <cfRule type="cellIs" dxfId="6" priority="3" stopIfTrue="1" operator="lessThan">
      <formula>0</formula>
    </cfRule>
  </conditionalFormatting>
  <conditionalFormatting sqref="P43:P44">
    <cfRule type="cellIs" dxfId="5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topLeftCell="A16" zoomScale="85" zoomScaleNormal="85" workbookViewId="0">
      <selection activeCell="C47" sqref="C47"/>
    </sheetView>
  </sheetViews>
  <sheetFormatPr defaultRowHeight="15"/>
  <cols>
    <col min="1" max="1" width="51.7109375" bestFit="1" customWidth="1"/>
    <col min="2" max="2" width="14.5703125" bestFit="1" customWidth="1"/>
    <col min="3" max="4" width="12.5703125" bestFit="1" customWidth="1"/>
    <col min="5" max="6" width="12.140625" bestFit="1" customWidth="1"/>
  </cols>
  <sheetData>
    <row r="1" spans="1:5" ht="21.75" thickBot="1">
      <c r="C1" s="1" t="s">
        <v>64</v>
      </c>
      <c r="D1" s="1" t="s">
        <v>65</v>
      </c>
      <c r="E1" s="1" t="s">
        <v>66</v>
      </c>
    </row>
    <row r="2" spans="1:5" ht="21">
      <c r="A2" s="156" t="s">
        <v>34</v>
      </c>
      <c r="B2" s="155">
        <v>1.67E-2</v>
      </c>
      <c r="C2" s="74"/>
      <c r="D2" s="74">
        <v>1.67E-2</v>
      </c>
      <c r="E2" s="74"/>
    </row>
    <row r="3" spans="1:5" ht="21">
      <c r="A3" s="147" t="s">
        <v>33</v>
      </c>
      <c r="B3" s="138">
        <v>3.2599999999999997E-2</v>
      </c>
      <c r="C3" s="74"/>
      <c r="D3" s="74"/>
      <c r="E3" s="74">
        <v>3.2599999999999997E-2</v>
      </c>
    </row>
    <row r="4" spans="1:5" ht="21">
      <c r="A4" s="139" t="s">
        <v>32</v>
      </c>
      <c r="B4" s="138">
        <v>0</v>
      </c>
      <c r="C4" s="74"/>
      <c r="D4" s="74"/>
      <c r="E4" s="74"/>
    </row>
    <row r="5" spans="1:5" ht="21">
      <c r="A5" s="139" t="s">
        <v>31</v>
      </c>
      <c r="B5" s="138">
        <v>2.7300000000000001E-2</v>
      </c>
      <c r="C5" s="74">
        <v>2.0400000000000001E-2</v>
      </c>
      <c r="D5" s="74">
        <v>4.4999999999999997E-3</v>
      </c>
      <c r="E5" s="74">
        <v>2.3999999999999998E-3</v>
      </c>
    </row>
    <row r="6" spans="1:5" ht="21">
      <c r="A6" s="139" t="s">
        <v>30</v>
      </c>
      <c r="B6" s="138">
        <v>1.15E-2</v>
      </c>
      <c r="C6" s="74">
        <v>1.0999999999999999E-2</v>
      </c>
      <c r="D6" s="74"/>
      <c r="E6" s="74">
        <v>5.0000000000000001E-4</v>
      </c>
    </row>
    <row r="7" spans="1:5" ht="21">
      <c r="A7" s="139" t="s">
        <v>29</v>
      </c>
      <c r="B7" s="138">
        <v>0.1198</v>
      </c>
      <c r="C7" s="74">
        <v>0.1198</v>
      </c>
      <c r="D7" s="74"/>
      <c r="E7" s="74"/>
    </row>
    <row r="8" spans="1:5" ht="21">
      <c r="A8" s="139" t="s">
        <v>28</v>
      </c>
      <c r="B8" s="138">
        <v>5.3699999999999998E-2</v>
      </c>
      <c r="C8" s="74">
        <v>5.3699999999999998E-2</v>
      </c>
      <c r="D8" s="74"/>
      <c r="E8" s="74"/>
    </row>
    <row r="9" spans="1:5" ht="21">
      <c r="A9" s="139" t="s">
        <v>27</v>
      </c>
      <c r="B9" s="138">
        <v>0</v>
      </c>
      <c r="C9" s="74"/>
      <c r="D9" s="74"/>
      <c r="E9" s="74"/>
    </row>
    <row r="10" spans="1:5" ht="21">
      <c r="A10" s="139" t="s">
        <v>26</v>
      </c>
      <c r="B10" s="138">
        <v>0</v>
      </c>
      <c r="C10" s="74"/>
      <c r="D10" s="74"/>
      <c r="E10" s="74"/>
    </row>
    <row r="11" spans="1:5" ht="21">
      <c r="A11" s="139" t="s">
        <v>25</v>
      </c>
      <c r="B11" s="138">
        <v>7.0499999999999993E-2</v>
      </c>
      <c r="C11" s="74">
        <v>7.0499999999999993E-2</v>
      </c>
      <c r="D11" s="74"/>
      <c r="E11" s="74"/>
    </row>
    <row r="12" spans="1:5" ht="21">
      <c r="A12" s="139" t="s">
        <v>24</v>
      </c>
      <c r="B12" s="138">
        <v>7.22E-2</v>
      </c>
      <c r="C12" s="74">
        <v>7.22E-2</v>
      </c>
      <c r="D12" s="74"/>
      <c r="E12" s="74"/>
    </row>
    <row r="13" spans="1:5" ht="21">
      <c r="A13" s="139" t="s">
        <v>23</v>
      </c>
      <c r="B13" s="138">
        <v>0</v>
      </c>
      <c r="C13" s="74"/>
      <c r="D13" s="74"/>
      <c r="E13" s="74"/>
    </row>
    <row r="14" spans="1:5" ht="21">
      <c r="A14" s="139" t="s">
        <v>22</v>
      </c>
      <c r="B14" s="138">
        <v>0.1797</v>
      </c>
      <c r="C14" s="74">
        <v>0.14000000000000001</v>
      </c>
      <c r="D14" s="74">
        <v>0.03</v>
      </c>
      <c r="E14" s="74">
        <v>9.7000000000000003E-3</v>
      </c>
    </row>
    <row r="15" spans="1:5" ht="21">
      <c r="A15" s="139" t="s">
        <v>21</v>
      </c>
      <c r="B15" s="138">
        <v>0</v>
      </c>
      <c r="C15" s="74"/>
      <c r="D15" s="74"/>
      <c r="E15" s="74"/>
    </row>
    <row r="16" spans="1:5" ht="21">
      <c r="A16" s="139" t="s">
        <v>20</v>
      </c>
      <c r="B16" s="138">
        <v>0</v>
      </c>
      <c r="C16" s="74"/>
      <c r="D16" s="74"/>
      <c r="E16" s="74"/>
    </row>
    <row r="17" spans="1:6" ht="21">
      <c r="A17" s="139" t="s">
        <v>19</v>
      </c>
      <c r="B17" s="138">
        <v>0.2326</v>
      </c>
      <c r="C17" s="74">
        <v>0.2326</v>
      </c>
      <c r="D17" s="74"/>
      <c r="E17" s="74"/>
    </row>
    <row r="18" spans="1:6" ht="21">
      <c r="A18" s="139" t="s">
        <v>18</v>
      </c>
      <c r="B18" s="138">
        <v>0</v>
      </c>
      <c r="C18" s="74"/>
      <c r="D18" s="74"/>
      <c r="E18" s="74"/>
    </row>
    <row r="19" spans="1:6" ht="21">
      <c r="A19" s="146" t="s">
        <v>17</v>
      </c>
      <c r="B19" s="138">
        <v>4.58E-2</v>
      </c>
      <c r="C19" s="74">
        <v>4.58E-2</v>
      </c>
      <c r="D19" s="74"/>
      <c r="E19" s="74"/>
    </row>
    <row r="20" spans="1:6" ht="21">
      <c r="A20" s="146" t="s">
        <v>16</v>
      </c>
      <c r="B20" s="138">
        <v>3.61E-2</v>
      </c>
      <c r="C20" s="74">
        <v>6.1000000000000004E-3</v>
      </c>
      <c r="D20" s="74">
        <v>0.03</v>
      </c>
      <c r="E20" s="74"/>
    </row>
    <row r="21" spans="1:6" ht="21">
      <c r="A21" s="146" t="s">
        <v>15</v>
      </c>
      <c r="B21" s="138">
        <v>0</v>
      </c>
      <c r="C21" s="74"/>
      <c r="D21" s="74"/>
      <c r="E21" s="74"/>
    </row>
    <row r="22" spans="1:6" ht="21">
      <c r="A22" s="146" t="s">
        <v>14</v>
      </c>
      <c r="B22" s="138">
        <v>3.5200000000000002E-2</v>
      </c>
      <c r="C22" s="74">
        <v>3.5200000000000002E-2</v>
      </c>
      <c r="D22" s="74"/>
      <c r="E22" s="74"/>
    </row>
    <row r="23" spans="1:6" ht="21">
      <c r="A23" s="146" t="s">
        <v>13</v>
      </c>
      <c r="B23" s="138">
        <v>8.8000000000000005E-3</v>
      </c>
      <c r="C23" s="74">
        <v>8.8000000000000005E-3</v>
      </c>
      <c r="D23" s="74"/>
      <c r="E23" s="74"/>
    </row>
    <row r="24" spans="1:6" ht="21">
      <c r="A24" s="139" t="s">
        <v>12</v>
      </c>
      <c r="B24" s="138">
        <v>1.06E-2</v>
      </c>
      <c r="C24" s="74">
        <v>1.06E-2</v>
      </c>
      <c r="D24" s="74"/>
      <c r="E24" s="74"/>
    </row>
    <row r="25" spans="1:6" ht="21">
      <c r="A25" s="139" t="s">
        <v>11</v>
      </c>
      <c r="B25" s="138">
        <v>0</v>
      </c>
      <c r="C25" s="74"/>
      <c r="D25" s="74"/>
      <c r="E25" s="74"/>
    </row>
    <row r="26" spans="1:6" ht="21">
      <c r="A26" s="139" t="s">
        <v>10</v>
      </c>
      <c r="B26" s="138">
        <v>0</v>
      </c>
      <c r="C26" s="74"/>
      <c r="D26" s="74"/>
      <c r="E26" s="74"/>
    </row>
    <row r="27" spans="1:6" ht="21">
      <c r="A27" s="139" t="s">
        <v>9</v>
      </c>
      <c r="B27" s="138">
        <v>0</v>
      </c>
      <c r="C27" s="74"/>
      <c r="D27" s="74"/>
      <c r="E27" s="74"/>
    </row>
    <row r="28" spans="1:6" ht="21">
      <c r="A28" s="139" t="s">
        <v>8</v>
      </c>
      <c r="B28" s="138">
        <v>4.41E-2</v>
      </c>
      <c r="C28" s="74"/>
      <c r="D28" s="74">
        <v>4.41E-2</v>
      </c>
      <c r="E28" s="74"/>
    </row>
    <row r="29" spans="1:6" ht="21">
      <c r="A29" s="139" t="s">
        <v>7</v>
      </c>
      <c r="B29" s="138">
        <v>2.8E-3</v>
      </c>
      <c r="C29" s="74"/>
      <c r="D29" s="74"/>
      <c r="E29" s="74">
        <v>2.8E-3</v>
      </c>
      <c r="F29" s="268" t="s">
        <v>67</v>
      </c>
    </row>
    <row r="30" spans="1:6" ht="21.75" thickBot="1">
      <c r="A30" s="127"/>
      <c r="B30" s="267">
        <f>SUM(B2:B29)</f>
        <v>1</v>
      </c>
      <c r="C30" s="267">
        <f t="shared" ref="C30:E30" si="0">SUM(C2:C29)</f>
        <v>0.82669999999999999</v>
      </c>
      <c r="D30" s="267">
        <f t="shared" si="0"/>
        <v>0.12529999999999999</v>
      </c>
      <c r="E30" s="267">
        <f t="shared" si="0"/>
        <v>4.7999999999999994E-2</v>
      </c>
      <c r="F30" s="74">
        <f>C30+D30+E30</f>
        <v>1</v>
      </c>
    </row>
    <row r="33" spans="1:5" ht="15.75" thickBot="1"/>
    <row r="34" spans="1:5" ht="21">
      <c r="A34" s="271" t="s">
        <v>70</v>
      </c>
      <c r="B34" s="269" t="s">
        <v>41</v>
      </c>
      <c r="C34" s="270"/>
      <c r="D34" s="268" t="s">
        <v>71</v>
      </c>
    </row>
    <row r="35" spans="1:5" ht="21">
      <c r="A35" s="271" t="s">
        <v>31</v>
      </c>
      <c r="B35" s="1">
        <v>1.74</v>
      </c>
      <c r="C35" s="272">
        <v>1</v>
      </c>
      <c r="D35" s="1">
        <f>B35*Munka1!H19</f>
        <v>20.662500000000001</v>
      </c>
      <c r="E35" s="74"/>
    </row>
    <row r="36" spans="1:5" ht="21">
      <c r="A36" s="273"/>
      <c r="B36" s="1"/>
      <c r="C36" s="272"/>
      <c r="D36" s="1"/>
      <c r="E36" s="74"/>
    </row>
    <row r="37" spans="1:5" ht="21">
      <c r="A37" s="271" t="s">
        <v>19</v>
      </c>
      <c r="B37" s="1">
        <v>0.47</v>
      </c>
      <c r="C37" s="272">
        <f>B37/$B$35</f>
        <v>0.27011494252873564</v>
      </c>
      <c r="D37" s="2">
        <f>B37*Munka1!H31</f>
        <v>6.1687499999999993</v>
      </c>
      <c r="E37" s="74"/>
    </row>
    <row r="38" spans="1:5" ht="21">
      <c r="A38" s="274" t="s">
        <v>33</v>
      </c>
      <c r="B38" s="1">
        <v>0.05</v>
      </c>
      <c r="C38" s="272">
        <f t="shared" ref="C38:C40" si="1">B38/$B$35</f>
        <v>2.8735632183908049E-2</v>
      </c>
      <c r="D38" s="2">
        <f>B38*Munka1!H17</f>
        <v>9.375E-2</v>
      </c>
      <c r="E38" s="74"/>
    </row>
    <row r="39" spans="1:5" ht="21">
      <c r="A39" s="271" t="s">
        <v>8</v>
      </c>
      <c r="B39" s="1">
        <v>0.26</v>
      </c>
      <c r="C39" s="272">
        <f t="shared" si="1"/>
        <v>0.14942528735632185</v>
      </c>
      <c r="D39" s="2">
        <f>B39*Munka1!H42</f>
        <v>0.32500000000000001</v>
      </c>
      <c r="E39" s="74"/>
    </row>
    <row r="40" spans="1:5" ht="21.75" thickBot="1">
      <c r="A40" s="275" t="s">
        <v>68</v>
      </c>
      <c r="B40" s="276">
        <v>0.96</v>
      </c>
      <c r="C40" s="277">
        <f t="shared" si="1"/>
        <v>0.55172413793103448</v>
      </c>
      <c r="D40" s="2">
        <f>D35-(D37+D38+D39)</f>
        <v>14.075000000000003</v>
      </c>
    </row>
    <row r="41" spans="1:5" ht="21">
      <c r="B41" s="1"/>
    </row>
    <row r="42" spans="1:5" ht="21.75" thickBot="1">
      <c r="B42" s="1"/>
    </row>
    <row r="43" spans="1:5" ht="21">
      <c r="A43" s="271" t="s">
        <v>69</v>
      </c>
      <c r="B43" s="269" t="s">
        <v>41</v>
      </c>
      <c r="C43" s="270"/>
    </row>
    <row r="44" spans="1:5" ht="21">
      <c r="A44" s="271" t="s">
        <v>31</v>
      </c>
      <c r="B44" s="1">
        <v>1.81</v>
      </c>
      <c r="C44" s="272">
        <v>1</v>
      </c>
    </row>
    <row r="45" spans="1:5" ht="21">
      <c r="A45" s="273"/>
      <c r="B45" s="1"/>
      <c r="C45" s="272"/>
    </row>
    <row r="46" spans="1:5" ht="21">
      <c r="A46" s="271" t="s">
        <v>19</v>
      </c>
      <c r="B46" s="1">
        <v>1.35</v>
      </c>
      <c r="C46" s="272">
        <f>B46/$B$35</f>
        <v>0.77586206896551735</v>
      </c>
    </row>
    <row r="47" spans="1:5" ht="21">
      <c r="A47" s="274" t="s">
        <v>33</v>
      </c>
      <c r="B47" s="1">
        <v>0.16</v>
      </c>
      <c r="C47" s="272">
        <f t="shared" ref="C47:C48" si="2">B47/$B$35</f>
        <v>9.1954022988505746E-2</v>
      </c>
    </row>
    <row r="48" spans="1:5" ht="21">
      <c r="A48" s="271" t="s">
        <v>8</v>
      </c>
      <c r="B48" s="1">
        <v>0.3</v>
      </c>
      <c r="C48" s="272">
        <f t="shared" si="2"/>
        <v>0.17241379310344826</v>
      </c>
    </row>
    <row r="49" spans="1:3" ht="21.75" thickBot="1">
      <c r="A49" s="275"/>
      <c r="B49" s="276"/>
      <c r="C49" s="27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164"/>
  <sheetViews>
    <sheetView topLeftCell="A7" zoomScale="85" zoomScaleNormal="85" workbookViewId="0">
      <selection sqref="A1:T43"/>
    </sheetView>
  </sheetViews>
  <sheetFormatPr defaultRowHeight="21"/>
  <cols>
    <col min="1" max="1" width="16" style="350" customWidth="1"/>
    <col min="2" max="2" width="43.85546875" style="350" customWidth="1"/>
    <col min="3" max="3" width="17.140625" style="350" customWidth="1"/>
    <col min="4" max="4" width="16.42578125" style="350" customWidth="1"/>
    <col min="5" max="5" width="24.7109375" style="350" hidden="1" customWidth="1"/>
    <col min="6" max="7" width="28.28515625" style="350" hidden="1" customWidth="1"/>
    <col min="8" max="8" width="20.85546875" style="350" customWidth="1"/>
    <col min="9" max="9" width="25" style="350" customWidth="1"/>
    <col min="10" max="10" width="16.42578125" style="350" customWidth="1"/>
    <col min="11" max="11" width="14" style="350" customWidth="1"/>
    <col min="12" max="13" width="16.42578125" style="309" hidden="1" customWidth="1"/>
    <col min="14" max="14" width="19" style="350" hidden="1" customWidth="1"/>
    <col min="15" max="15" width="19.85546875" style="350" hidden="1" customWidth="1"/>
    <col min="16" max="17" width="19" style="350" hidden="1" customWidth="1"/>
    <col min="18" max="18" width="23.140625" style="350" hidden="1" customWidth="1"/>
    <col min="19" max="19" width="2.42578125" style="350" hidden="1" customWidth="1"/>
    <col min="20" max="20" width="16.42578125" style="350" bestFit="1" customWidth="1"/>
    <col min="21" max="21" width="17.5703125" style="350" hidden="1" customWidth="1"/>
    <col min="22" max="22" width="18.7109375" style="350" bestFit="1" customWidth="1"/>
    <col min="23" max="23" width="23.28515625" style="350" customWidth="1"/>
    <col min="24" max="24" width="17" style="350" bestFit="1" customWidth="1"/>
    <col min="25" max="25" width="11.85546875" style="349" customWidth="1"/>
    <col min="26" max="26" width="7.140625" style="32" bestFit="1" customWidth="1"/>
    <col min="27" max="27" width="15" style="32" bestFit="1" customWidth="1"/>
    <col min="28" max="16384" width="9.140625" style="350"/>
  </cols>
  <sheetData>
    <row r="1" spans="1:31" s="349" customFormat="1" ht="21.75" thickBot="1">
      <c r="A1" s="408" t="s">
        <v>111</v>
      </c>
      <c r="B1" s="409"/>
      <c r="C1" s="412" t="s">
        <v>109</v>
      </c>
      <c r="D1" s="415"/>
      <c r="E1" s="411"/>
      <c r="F1" s="411"/>
      <c r="G1" s="411"/>
      <c r="H1" s="410"/>
      <c r="I1" s="411"/>
      <c r="J1" s="411"/>
      <c r="K1" s="411"/>
      <c r="L1" s="416"/>
      <c r="M1" s="416"/>
      <c r="N1" s="602" t="s">
        <v>59</v>
      </c>
      <c r="O1" s="602"/>
      <c r="P1" s="603"/>
      <c r="Q1" s="417"/>
      <c r="R1" s="418" t="s">
        <v>58</v>
      </c>
      <c r="S1" s="419"/>
      <c r="T1" s="420"/>
      <c r="U1" s="252"/>
      <c r="V1" s="350"/>
      <c r="W1" s="350"/>
      <c r="X1" s="350"/>
      <c r="Y1" s="338"/>
      <c r="Z1" s="247"/>
      <c r="AA1" s="32"/>
    </row>
    <row r="2" spans="1:31">
      <c r="A2" s="372" t="s">
        <v>41</v>
      </c>
      <c r="B2" s="373" t="s">
        <v>101</v>
      </c>
      <c r="C2" s="374" t="s">
        <v>102</v>
      </c>
      <c r="D2" s="375" t="s">
        <v>103</v>
      </c>
      <c r="E2" s="374" t="e">
        <f>D2/1.11</f>
        <v>#VALUE!</v>
      </c>
      <c r="F2" s="374"/>
      <c r="G2" s="374"/>
      <c r="H2" s="374" t="s">
        <v>104</v>
      </c>
      <c r="I2" s="376" t="s">
        <v>105</v>
      </c>
      <c r="J2" s="95"/>
      <c r="K2" s="95"/>
      <c r="L2" s="291"/>
      <c r="M2" s="291"/>
      <c r="N2" s="31" t="e">
        <f>C2+D2</f>
        <v>#VALUE!</v>
      </c>
      <c r="O2" s="212"/>
      <c r="P2" s="215"/>
      <c r="Q2" s="214"/>
      <c r="R2" s="209"/>
      <c r="S2" s="32">
        <v>6439.36</v>
      </c>
      <c r="T2" s="31"/>
      <c r="AB2" s="349"/>
      <c r="AC2" s="349"/>
      <c r="AD2" s="349"/>
      <c r="AE2" s="349"/>
    </row>
    <row r="3" spans="1:31" ht="21.75" thickBot="1">
      <c r="A3" s="371"/>
      <c r="B3" s="377"/>
      <c r="C3" s="378"/>
      <c r="D3" s="378"/>
      <c r="E3" s="378"/>
      <c r="F3" s="378"/>
      <c r="G3" s="378"/>
      <c r="H3" s="378"/>
      <c r="I3" s="379"/>
      <c r="J3" s="31"/>
      <c r="K3" s="31"/>
      <c r="L3" s="289"/>
      <c r="M3" s="289"/>
      <c r="N3" s="31">
        <f>B3*1.09</f>
        <v>0</v>
      </c>
      <c r="O3" s="380" t="s">
        <v>52</v>
      </c>
      <c r="P3" s="381">
        <f>SUM(P2:P2)</f>
        <v>0</v>
      </c>
      <c r="Q3" s="382"/>
      <c r="R3" s="383" t="e">
        <f>P3/A3</f>
        <v>#DIV/0!</v>
      </c>
      <c r="S3" s="32"/>
      <c r="T3" s="34"/>
      <c r="AB3" s="349"/>
      <c r="AC3" s="349"/>
      <c r="AD3" s="349"/>
      <c r="AE3" s="349"/>
    </row>
    <row r="4" spans="1:31" ht="45" customHeight="1" thickBot="1">
      <c r="A4" s="24"/>
      <c r="B4" s="24" t="s">
        <v>50</v>
      </c>
      <c r="C4" s="196"/>
      <c r="D4" s="413"/>
      <c r="E4" s="98"/>
      <c r="F4" s="98"/>
      <c r="G4" s="98"/>
      <c r="H4" s="98"/>
      <c r="I4" s="98"/>
      <c r="J4" s="98"/>
      <c r="K4" s="98"/>
      <c r="L4" s="293"/>
      <c r="M4" s="293"/>
      <c r="N4" s="195"/>
      <c r="O4" s="24"/>
      <c r="P4" s="9"/>
      <c r="Q4" s="9"/>
      <c r="R4" s="24"/>
      <c r="S4" s="24"/>
      <c r="U4" s="97"/>
    </row>
    <row r="5" spans="1:31" s="32" customFormat="1" ht="57" customHeight="1" thickBot="1">
      <c r="A5" s="398"/>
      <c r="B5" s="399" t="s">
        <v>48</v>
      </c>
      <c r="C5" s="401" t="s">
        <v>106</v>
      </c>
      <c r="D5" s="401" t="s">
        <v>106</v>
      </c>
      <c r="E5" s="401"/>
      <c r="F5" s="401"/>
      <c r="G5" s="401"/>
      <c r="H5" s="401" t="s">
        <v>106</v>
      </c>
      <c r="I5" s="401" t="s">
        <v>106</v>
      </c>
      <c r="J5" s="401" t="s">
        <v>106</v>
      </c>
      <c r="K5" s="401" t="s">
        <v>106</v>
      </c>
      <c r="L5" s="403"/>
      <c r="M5" s="403"/>
      <c r="N5" s="404"/>
      <c r="O5" s="405"/>
      <c r="P5" s="402"/>
      <c r="Q5" s="402"/>
      <c r="R5" s="405"/>
      <c r="S5" s="406"/>
      <c r="T5" s="401" t="s">
        <v>106</v>
      </c>
      <c r="U5" s="351"/>
      <c r="V5" s="350"/>
      <c r="W5" s="350"/>
      <c r="X5" s="350"/>
      <c r="Y5" s="349"/>
    </row>
    <row r="6" spans="1:31">
      <c r="A6" s="386"/>
      <c r="B6" s="387" t="s">
        <v>45</v>
      </c>
      <c r="C6" s="388"/>
      <c r="D6" s="389"/>
      <c r="E6" s="390"/>
      <c r="F6" s="390"/>
      <c r="G6" s="390"/>
      <c r="H6" s="390"/>
      <c r="I6" s="390"/>
      <c r="J6" s="390"/>
      <c r="K6" s="390"/>
      <c r="L6" s="391"/>
      <c r="M6" s="391"/>
      <c r="N6" s="392"/>
      <c r="O6" s="393"/>
      <c r="P6" s="394"/>
      <c r="Q6" s="394"/>
      <c r="R6" s="395"/>
      <c r="S6" s="396"/>
      <c r="T6" s="397"/>
      <c r="U6" s="352"/>
    </row>
    <row r="7" spans="1:31">
      <c r="A7" s="176" t="s">
        <v>44</v>
      </c>
      <c r="B7" s="175" t="s">
        <v>43</v>
      </c>
      <c r="C7" s="174"/>
      <c r="D7" s="173"/>
      <c r="E7" s="173"/>
      <c r="F7" s="173"/>
      <c r="G7" s="173"/>
      <c r="H7" s="173"/>
      <c r="I7" s="173"/>
      <c r="J7" s="173"/>
      <c r="K7" s="173"/>
      <c r="L7" s="296"/>
      <c r="M7" s="296"/>
      <c r="N7" s="324"/>
      <c r="O7" s="171"/>
      <c r="P7" s="170"/>
      <c r="Q7" s="170"/>
      <c r="R7" s="169"/>
      <c r="S7" s="168"/>
      <c r="T7" s="166"/>
      <c r="U7" s="353"/>
    </row>
    <row r="8" spans="1:31" ht="18.75" customHeight="1" thickBot="1">
      <c r="A8" s="164"/>
      <c r="B8" s="164"/>
      <c r="C8" s="164"/>
      <c r="D8" s="164"/>
      <c r="E8" s="328" t="s">
        <v>92</v>
      </c>
      <c r="F8" s="164" t="s">
        <v>87</v>
      </c>
      <c r="G8" s="329" t="s">
        <v>88</v>
      </c>
      <c r="H8" s="164"/>
      <c r="I8" s="164"/>
      <c r="J8" s="164"/>
      <c r="L8" s="297"/>
      <c r="M8" s="297"/>
      <c r="N8" s="163"/>
      <c r="O8" s="162"/>
      <c r="P8" s="160"/>
      <c r="Q8" s="161"/>
      <c r="R8" s="162"/>
      <c r="S8" s="161"/>
      <c r="T8" s="159"/>
      <c r="U8" s="354" t="s">
        <v>86</v>
      </c>
      <c r="W8" s="335"/>
      <c r="X8" s="333"/>
      <c r="Y8" s="343"/>
      <c r="Z8" s="344"/>
      <c r="AA8" s="344"/>
    </row>
    <row r="9" spans="1:31" ht="21.75" thickBot="1">
      <c r="A9" s="157"/>
      <c r="B9" s="156" t="s">
        <v>72</v>
      </c>
      <c r="C9" s="155"/>
      <c r="D9" s="384"/>
      <c r="E9" s="322">
        <f t="shared" ref="E9:E35" si="0">D9*$N$6</f>
        <v>0</v>
      </c>
      <c r="F9" s="322" t="e">
        <f t="shared" ref="F9:F35" si="1">D9*$N$6*U9</f>
        <v>#DIV/0!</v>
      </c>
      <c r="G9" s="330" t="e">
        <f t="shared" ref="G9:G35" si="2">F9*$F$43</f>
        <v>#DIV/0!</v>
      </c>
      <c r="H9" s="322"/>
      <c r="I9" s="322"/>
      <c r="J9" s="326"/>
      <c r="K9" s="149"/>
      <c r="L9" s="298"/>
      <c r="M9" s="298"/>
      <c r="N9" s="327"/>
      <c r="O9" s="153"/>
      <c r="P9" s="152"/>
      <c r="Q9" s="152"/>
      <c r="R9" s="151"/>
      <c r="S9" s="150"/>
      <c r="T9" s="360"/>
      <c r="U9" s="355" t="e">
        <f>T9/$X$8</f>
        <v>#DIV/0!</v>
      </c>
      <c r="V9" s="337"/>
      <c r="W9" s="335"/>
      <c r="X9" s="333"/>
    </row>
    <row r="10" spans="1:31" ht="21.75" thickBot="1">
      <c r="A10" s="144"/>
      <c r="B10" s="147" t="s">
        <v>73</v>
      </c>
      <c r="C10" s="138"/>
      <c r="D10" s="385"/>
      <c r="E10" s="322">
        <f t="shared" si="0"/>
        <v>0</v>
      </c>
      <c r="F10" s="322" t="e">
        <f t="shared" si="1"/>
        <v>#DIV/0!</v>
      </c>
      <c r="G10" s="330" t="e">
        <f t="shared" si="2"/>
        <v>#DIV/0!</v>
      </c>
      <c r="H10" s="322"/>
      <c r="I10" s="322"/>
      <c r="J10" s="326"/>
      <c r="K10" s="149"/>
      <c r="L10" s="298"/>
      <c r="M10" s="298"/>
      <c r="N10" s="327"/>
      <c r="O10" s="136"/>
      <c r="P10" s="134"/>
      <c r="Q10" s="134"/>
      <c r="R10" s="133"/>
      <c r="S10" s="143"/>
      <c r="T10" s="361"/>
      <c r="U10" s="355" t="e">
        <f t="shared" ref="U10:U35" si="3">T10/$X$8</f>
        <v>#DIV/0!</v>
      </c>
      <c r="V10" s="337"/>
      <c r="W10" s="335"/>
      <c r="X10" s="333"/>
    </row>
    <row r="11" spans="1:31" ht="21.75" hidden="1" thickBot="1">
      <c r="A11" s="144"/>
      <c r="B11" s="139" t="s">
        <v>32</v>
      </c>
      <c r="C11" s="138"/>
      <c r="D11" s="385"/>
      <c r="E11" s="322">
        <f t="shared" si="0"/>
        <v>0</v>
      </c>
      <c r="F11" s="322" t="e">
        <f t="shared" si="1"/>
        <v>#DIV/0!</v>
      </c>
      <c r="G11" s="330" t="e">
        <f t="shared" si="2"/>
        <v>#DIV/0!</v>
      </c>
      <c r="H11" s="322"/>
      <c r="I11" s="322"/>
      <c r="J11" s="326"/>
      <c r="K11" s="149"/>
      <c r="L11" s="298"/>
      <c r="M11" s="298"/>
      <c r="N11" s="327"/>
      <c r="O11" s="136"/>
      <c r="P11" s="134"/>
      <c r="Q11" s="134"/>
      <c r="R11" s="133"/>
      <c r="S11" s="143"/>
      <c r="T11" s="361"/>
      <c r="U11" s="355" t="e">
        <f t="shared" si="3"/>
        <v>#DIV/0!</v>
      </c>
      <c r="W11" s="335"/>
      <c r="X11" s="333"/>
    </row>
    <row r="12" spans="1:31" ht="21.75" thickBot="1">
      <c r="A12" s="144"/>
      <c r="B12" s="139" t="s">
        <v>74</v>
      </c>
      <c r="C12" s="138"/>
      <c r="D12" s="385"/>
      <c r="E12" s="322">
        <f t="shared" si="0"/>
        <v>0</v>
      </c>
      <c r="F12" s="322" t="e">
        <f t="shared" si="1"/>
        <v>#DIV/0!</v>
      </c>
      <c r="G12" s="330" t="e">
        <f t="shared" si="2"/>
        <v>#DIV/0!</v>
      </c>
      <c r="H12" s="322"/>
      <c r="I12" s="322"/>
      <c r="J12" s="326"/>
      <c r="K12" s="149"/>
      <c r="L12" s="298"/>
      <c r="M12" s="298"/>
      <c r="N12" s="327"/>
      <c r="O12" s="136"/>
      <c r="P12" s="134"/>
      <c r="Q12" s="134"/>
      <c r="R12" s="133"/>
      <c r="S12" s="143"/>
      <c r="T12" s="361"/>
      <c r="U12" s="355" t="e">
        <f t="shared" si="3"/>
        <v>#DIV/0!</v>
      </c>
      <c r="W12" s="335"/>
      <c r="X12" s="334"/>
      <c r="AA12" s="333"/>
    </row>
    <row r="13" spans="1:31" ht="21.75" thickBot="1">
      <c r="A13" s="144"/>
      <c r="B13" s="139" t="s">
        <v>30</v>
      </c>
      <c r="C13" s="138"/>
      <c r="D13" s="385"/>
      <c r="E13" s="322">
        <f t="shared" si="0"/>
        <v>0</v>
      </c>
      <c r="F13" s="322" t="e">
        <f t="shared" si="1"/>
        <v>#DIV/0!</v>
      </c>
      <c r="G13" s="330" t="e">
        <f t="shared" si="2"/>
        <v>#DIV/0!</v>
      </c>
      <c r="H13" s="322"/>
      <c r="I13" s="322"/>
      <c r="J13" s="326"/>
      <c r="K13" s="149"/>
      <c r="L13" s="298"/>
      <c r="M13" s="298"/>
      <c r="N13" s="327"/>
      <c r="O13" s="136"/>
      <c r="P13" s="134"/>
      <c r="Q13" s="134"/>
      <c r="R13" s="133"/>
      <c r="S13" s="143"/>
      <c r="T13" s="361"/>
      <c r="U13" s="355" t="e">
        <f t="shared" si="3"/>
        <v>#DIV/0!</v>
      </c>
      <c r="W13" s="32"/>
      <c r="X13" s="32"/>
      <c r="AA13" s="333"/>
    </row>
    <row r="14" spans="1:31" ht="21.75" thickBot="1">
      <c r="A14" s="144"/>
      <c r="B14" s="139" t="s">
        <v>75</v>
      </c>
      <c r="C14" s="138"/>
      <c r="D14" s="385"/>
      <c r="E14" s="322">
        <f t="shared" si="0"/>
        <v>0</v>
      </c>
      <c r="F14" s="322" t="e">
        <f t="shared" si="1"/>
        <v>#DIV/0!</v>
      </c>
      <c r="G14" s="330" t="e">
        <f t="shared" si="2"/>
        <v>#DIV/0!</v>
      </c>
      <c r="H14" s="322"/>
      <c r="I14" s="322"/>
      <c r="J14" s="326"/>
      <c r="K14" s="149"/>
      <c r="L14" s="298"/>
      <c r="M14" s="298"/>
      <c r="N14" s="327"/>
      <c r="O14" s="136"/>
      <c r="P14" s="134"/>
      <c r="Q14" s="134"/>
      <c r="R14" s="133"/>
      <c r="S14" s="143"/>
      <c r="T14" s="361"/>
      <c r="U14" s="355" t="e">
        <f t="shared" si="3"/>
        <v>#DIV/0!</v>
      </c>
    </row>
    <row r="15" spans="1:31" ht="21.75" thickBot="1">
      <c r="A15" s="144"/>
      <c r="B15" s="139" t="s">
        <v>76</v>
      </c>
      <c r="C15" s="138"/>
      <c r="D15" s="385"/>
      <c r="E15" s="322">
        <f t="shared" si="0"/>
        <v>0</v>
      </c>
      <c r="F15" s="322" t="e">
        <f t="shared" si="1"/>
        <v>#DIV/0!</v>
      </c>
      <c r="G15" s="330" t="e">
        <f t="shared" si="2"/>
        <v>#DIV/0!</v>
      </c>
      <c r="H15" s="322"/>
      <c r="I15" s="322"/>
      <c r="J15" s="326"/>
      <c r="K15" s="149"/>
      <c r="L15" s="298"/>
      <c r="M15" s="298"/>
      <c r="N15" s="327"/>
      <c r="O15" s="136"/>
      <c r="P15" s="134"/>
      <c r="Q15" s="134"/>
      <c r="R15" s="133"/>
      <c r="S15" s="143"/>
      <c r="T15" s="361"/>
      <c r="U15" s="355" t="e">
        <f t="shared" si="3"/>
        <v>#DIV/0!</v>
      </c>
    </row>
    <row r="16" spans="1:31" ht="21.75" hidden="1" thickBot="1">
      <c r="A16" s="144"/>
      <c r="B16" s="139" t="s">
        <v>27</v>
      </c>
      <c r="C16" s="138"/>
      <c r="D16" s="385"/>
      <c r="E16" s="322">
        <f t="shared" si="0"/>
        <v>0</v>
      </c>
      <c r="F16" s="322" t="e">
        <f t="shared" si="1"/>
        <v>#DIV/0!</v>
      </c>
      <c r="G16" s="330" t="e">
        <f t="shared" si="2"/>
        <v>#DIV/0!</v>
      </c>
      <c r="H16" s="322"/>
      <c r="I16" s="322"/>
      <c r="J16" s="326"/>
      <c r="K16" s="149"/>
      <c r="L16" s="298"/>
      <c r="M16" s="298"/>
      <c r="N16" s="327"/>
      <c r="O16" s="136"/>
      <c r="P16" s="134"/>
      <c r="Q16" s="134"/>
      <c r="R16" s="133"/>
      <c r="S16" s="143"/>
      <c r="T16" s="361"/>
      <c r="U16" s="355" t="e">
        <f t="shared" si="3"/>
        <v>#DIV/0!</v>
      </c>
      <c r="AA16" s="333"/>
    </row>
    <row r="17" spans="1:21" ht="21.75" hidden="1" thickBot="1">
      <c r="A17" s="144"/>
      <c r="B17" s="139" t="s">
        <v>26</v>
      </c>
      <c r="C17" s="138"/>
      <c r="D17" s="385"/>
      <c r="E17" s="322">
        <f t="shared" si="0"/>
        <v>0</v>
      </c>
      <c r="F17" s="322" t="e">
        <f t="shared" si="1"/>
        <v>#DIV/0!</v>
      </c>
      <c r="G17" s="330" t="e">
        <f t="shared" si="2"/>
        <v>#DIV/0!</v>
      </c>
      <c r="H17" s="322"/>
      <c r="I17" s="322"/>
      <c r="J17" s="326"/>
      <c r="K17" s="149"/>
      <c r="L17" s="298"/>
      <c r="M17" s="298"/>
      <c r="N17" s="327"/>
      <c r="O17" s="136"/>
      <c r="P17" s="134"/>
      <c r="Q17" s="134"/>
      <c r="R17" s="133"/>
      <c r="S17" s="143"/>
      <c r="T17" s="361"/>
      <c r="U17" s="355" t="e">
        <f t="shared" si="3"/>
        <v>#DIV/0!</v>
      </c>
    </row>
    <row r="18" spans="1:21" ht="21.75" thickBot="1">
      <c r="A18" s="144"/>
      <c r="B18" s="139" t="s">
        <v>77</v>
      </c>
      <c r="C18" s="138"/>
      <c r="D18" s="385"/>
      <c r="E18" s="322">
        <f t="shared" si="0"/>
        <v>0</v>
      </c>
      <c r="F18" s="322" t="e">
        <f t="shared" si="1"/>
        <v>#DIV/0!</v>
      </c>
      <c r="G18" s="330" t="e">
        <f t="shared" si="2"/>
        <v>#DIV/0!</v>
      </c>
      <c r="H18" s="322"/>
      <c r="I18" s="322"/>
      <c r="J18" s="326"/>
      <c r="K18" s="149"/>
      <c r="L18" s="298"/>
      <c r="M18" s="298"/>
      <c r="N18" s="327"/>
      <c r="O18" s="136"/>
      <c r="P18" s="134"/>
      <c r="Q18" s="134"/>
      <c r="R18" s="133"/>
      <c r="S18" s="143"/>
      <c r="T18" s="361"/>
      <c r="U18" s="355" t="e">
        <f t="shared" si="3"/>
        <v>#DIV/0!</v>
      </c>
    </row>
    <row r="19" spans="1:21" ht="21.75" thickBot="1">
      <c r="A19" s="144"/>
      <c r="B19" s="139" t="s">
        <v>78</v>
      </c>
      <c r="C19" s="138"/>
      <c r="D19" s="385"/>
      <c r="E19" s="322">
        <f t="shared" si="0"/>
        <v>0</v>
      </c>
      <c r="F19" s="322" t="e">
        <f t="shared" si="1"/>
        <v>#DIV/0!</v>
      </c>
      <c r="G19" s="330" t="e">
        <f t="shared" si="2"/>
        <v>#DIV/0!</v>
      </c>
      <c r="H19" s="322"/>
      <c r="I19" s="322"/>
      <c r="J19" s="326"/>
      <c r="K19" s="149"/>
      <c r="L19" s="298"/>
      <c r="M19" s="298"/>
      <c r="N19" s="327"/>
      <c r="O19" s="136"/>
      <c r="P19" s="134"/>
      <c r="Q19" s="134"/>
      <c r="R19" s="133"/>
      <c r="S19" s="143"/>
      <c r="T19" s="361"/>
      <c r="U19" s="355" t="e">
        <f t="shared" si="3"/>
        <v>#DIV/0!</v>
      </c>
    </row>
    <row r="20" spans="1:21" ht="21.75" hidden="1" thickBot="1">
      <c r="A20" s="144"/>
      <c r="B20" s="139" t="s">
        <v>23</v>
      </c>
      <c r="C20" s="138"/>
      <c r="D20" s="385"/>
      <c r="E20" s="322">
        <f t="shared" si="0"/>
        <v>0</v>
      </c>
      <c r="F20" s="322" t="e">
        <f t="shared" si="1"/>
        <v>#DIV/0!</v>
      </c>
      <c r="G20" s="330" t="e">
        <f t="shared" si="2"/>
        <v>#DIV/0!</v>
      </c>
      <c r="H20" s="322"/>
      <c r="I20" s="322"/>
      <c r="J20" s="326"/>
      <c r="K20" s="149"/>
      <c r="L20" s="298"/>
      <c r="M20" s="298"/>
      <c r="N20" s="327"/>
      <c r="O20" s="136"/>
      <c r="P20" s="134"/>
      <c r="Q20" s="134"/>
      <c r="R20" s="133"/>
      <c r="S20" s="143"/>
      <c r="T20" s="361"/>
      <c r="U20" s="355" t="e">
        <f t="shared" si="3"/>
        <v>#DIV/0!</v>
      </c>
    </row>
    <row r="21" spans="1:21" ht="21.75" thickBot="1">
      <c r="A21" s="144"/>
      <c r="B21" s="139" t="s">
        <v>79</v>
      </c>
      <c r="C21" s="138"/>
      <c r="D21" s="385"/>
      <c r="E21" s="322">
        <f t="shared" si="0"/>
        <v>0</v>
      </c>
      <c r="F21" s="322" t="e">
        <f t="shared" si="1"/>
        <v>#DIV/0!</v>
      </c>
      <c r="G21" s="330" t="e">
        <f t="shared" si="2"/>
        <v>#DIV/0!</v>
      </c>
      <c r="H21" s="322"/>
      <c r="I21" s="322"/>
      <c r="J21" s="326"/>
      <c r="K21" s="149"/>
      <c r="L21" s="298"/>
      <c r="M21" s="298"/>
      <c r="N21" s="327"/>
      <c r="O21" s="136"/>
      <c r="P21" s="134"/>
      <c r="Q21" s="134"/>
      <c r="R21" s="133"/>
      <c r="S21" s="143"/>
      <c r="T21" s="361"/>
      <c r="U21" s="355" t="e">
        <f t="shared" si="3"/>
        <v>#DIV/0!</v>
      </c>
    </row>
    <row r="22" spans="1:21" ht="21.75" hidden="1" thickBot="1">
      <c r="A22" s="144"/>
      <c r="B22" s="139" t="s">
        <v>21</v>
      </c>
      <c r="C22" s="138"/>
      <c r="D22" s="385"/>
      <c r="E22" s="322">
        <f t="shared" si="0"/>
        <v>0</v>
      </c>
      <c r="F22" s="322" t="e">
        <f t="shared" si="1"/>
        <v>#DIV/0!</v>
      </c>
      <c r="G22" s="330" t="e">
        <f t="shared" si="2"/>
        <v>#DIV/0!</v>
      </c>
      <c r="H22" s="322"/>
      <c r="I22" s="322"/>
      <c r="J22" s="326"/>
      <c r="K22" s="149"/>
      <c r="L22" s="298"/>
      <c r="M22" s="298"/>
      <c r="N22" s="327"/>
      <c r="O22" s="136"/>
      <c r="P22" s="134"/>
      <c r="Q22" s="134"/>
      <c r="R22" s="133"/>
      <c r="S22" s="143"/>
      <c r="T22" s="361"/>
      <c r="U22" s="355" t="e">
        <f t="shared" si="3"/>
        <v>#DIV/0!</v>
      </c>
    </row>
    <row r="23" spans="1:21" ht="21.75" hidden="1" thickBot="1">
      <c r="A23" s="144"/>
      <c r="B23" s="139" t="s">
        <v>20</v>
      </c>
      <c r="C23" s="138"/>
      <c r="D23" s="385"/>
      <c r="E23" s="322">
        <f t="shared" si="0"/>
        <v>0</v>
      </c>
      <c r="F23" s="322" t="e">
        <f t="shared" si="1"/>
        <v>#DIV/0!</v>
      </c>
      <c r="G23" s="330" t="e">
        <f t="shared" si="2"/>
        <v>#DIV/0!</v>
      </c>
      <c r="H23" s="322"/>
      <c r="I23" s="322"/>
      <c r="J23" s="326"/>
      <c r="K23" s="149"/>
      <c r="L23" s="298"/>
      <c r="M23" s="298"/>
      <c r="N23" s="327"/>
      <c r="O23" s="136"/>
      <c r="P23" s="134"/>
      <c r="Q23" s="134"/>
      <c r="R23" s="133"/>
      <c r="S23" s="143"/>
      <c r="T23" s="361"/>
      <c r="U23" s="355" t="e">
        <f t="shared" si="3"/>
        <v>#DIV/0!</v>
      </c>
    </row>
    <row r="24" spans="1:21" ht="21.75" thickBot="1">
      <c r="A24" s="144"/>
      <c r="B24" s="139" t="s">
        <v>80</v>
      </c>
      <c r="C24" s="138"/>
      <c r="D24" s="385"/>
      <c r="E24" s="322">
        <f t="shared" si="0"/>
        <v>0</v>
      </c>
      <c r="F24" s="322" t="e">
        <f t="shared" si="1"/>
        <v>#DIV/0!</v>
      </c>
      <c r="G24" s="330" t="e">
        <f t="shared" si="2"/>
        <v>#DIV/0!</v>
      </c>
      <c r="H24" s="322"/>
      <c r="I24" s="322"/>
      <c r="J24" s="326"/>
      <c r="K24" s="149"/>
      <c r="L24" s="298"/>
      <c r="M24" s="298"/>
      <c r="N24" s="327"/>
      <c r="O24" s="136"/>
      <c r="P24" s="134"/>
      <c r="Q24" s="134"/>
      <c r="R24" s="133"/>
      <c r="S24" s="143"/>
      <c r="T24" s="361"/>
      <c r="U24" s="355" t="e">
        <f t="shared" si="3"/>
        <v>#DIV/0!</v>
      </c>
    </row>
    <row r="25" spans="1:21" ht="21.75" hidden="1" thickBot="1">
      <c r="A25" s="144"/>
      <c r="B25" s="139" t="s">
        <v>18</v>
      </c>
      <c r="C25" s="138"/>
      <c r="D25" s="385"/>
      <c r="E25" s="322">
        <f t="shared" si="0"/>
        <v>0</v>
      </c>
      <c r="F25" s="322" t="e">
        <f t="shared" si="1"/>
        <v>#DIV/0!</v>
      </c>
      <c r="G25" s="330" t="e">
        <f t="shared" si="2"/>
        <v>#DIV/0!</v>
      </c>
      <c r="H25" s="322"/>
      <c r="I25" s="322"/>
      <c r="J25" s="326"/>
      <c r="K25" s="149"/>
      <c r="L25" s="298"/>
      <c r="M25" s="298"/>
      <c r="N25" s="327"/>
      <c r="O25" s="136"/>
      <c r="P25" s="134"/>
      <c r="Q25" s="134"/>
      <c r="R25" s="133"/>
      <c r="S25" s="143"/>
      <c r="T25" s="361"/>
      <c r="U25" s="355" t="e">
        <f t="shared" si="3"/>
        <v>#DIV/0!</v>
      </c>
    </row>
    <row r="26" spans="1:21" ht="21.75" thickBot="1">
      <c r="A26" s="144"/>
      <c r="B26" s="146" t="s">
        <v>81</v>
      </c>
      <c r="C26" s="138"/>
      <c r="D26" s="385"/>
      <c r="E26" s="322">
        <f t="shared" si="0"/>
        <v>0</v>
      </c>
      <c r="F26" s="322" t="e">
        <f t="shared" si="1"/>
        <v>#DIV/0!</v>
      </c>
      <c r="G26" s="330" t="e">
        <f t="shared" si="2"/>
        <v>#DIV/0!</v>
      </c>
      <c r="H26" s="322"/>
      <c r="I26" s="322"/>
      <c r="J26" s="326"/>
      <c r="K26" s="149"/>
      <c r="L26" s="298"/>
      <c r="M26" s="298"/>
      <c r="N26" s="327"/>
      <c r="O26" s="136"/>
      <c r="P26" s="134"/>
      <c r="Q26" s="134"/>
      <c r="R26" s="133"/>
      <c r="S26" s="143"/>
      <c r="T26" s="361"/>
      <c r="U26" s="355" t="e">
        <f t="shared" si="3"/>
        <v>#DIV/0!</v>
      </c>
    </row>
    <row r="27" spans="1:21" ht="21.75" thickBot="1">
      <c r="A27" s="144"/>
      <c r="B27" s="146" t="s">
        <v>82</v>
      </c>
      <c r="C27" s="138"/>
      <c r="D27" s="385"/>
      <c r="E27" s="322">
        <f t="shared" si="0"/>
        <v>0</v>
      </c>
      <c r="F27" s="322" t="e">
        <f t="shared" si="1"/>
        <v>#DIV/0!</v>
      </c>
      <c r="G27" s="330" t="e">
        <f t="shared" si="2"/>
        <v>#DIV/0!</v>
      </c>
      <c r="H27" s="322"/>
      <c r="I27" s="322"/>
      <c r="J27" s="326"/>
      <c r="K27" s="149"/>
      <c r="L27" s="298"/>
      <c r="M27" s="298"/>
      <c r="N27" s="327"/>
      <c r="O27" s="136"/>
      <c r="P27" s="134"/>
      <c r="Q27" s="134"/>
      <c r="R27" s="133"/>
      <c r="S27" s="143"/>
      <c r="T27" s="361"/>
      <c r="U27" s="355" t="e">
        <f t="shared" si="3"/>
        <v>#DIV/0!</v>
      </c>
    </row>
    <row r="28" spans="1:21" ht="21.75" hidden="1" thickBot="1">
      <c r="A28" s="144"/>
      <c r="B28" s="146" t="s">
        <v>15</v>
      </c>
      <c r="C28" s="138"/>
      <c r="D28" s="385"/>
      <c r="E28" s="322">
        <f t="shared" si="0"/>
        <v>0</v>
      </c>
      <c r="F28" s="322" t="e">
        <f t="shared" si="1"/>
        <v>#DIV/0!</v>
      </c>
      <c r="G28" s="330" t="e">
        <f t="shared" si="2"/>
        <v>#DIV/0!</v>
      </c>
      <c r="H28" s="322"/>
      <c r="I28" s="322"/>
      <c r="J28" s="326"/>
      <c r="K28" s="149"/>
      <c r="L28" s="298"/>
      <c r="M28" s="298"/>
      <c r="N28" s="327"/>
      <c r="O28" s="136"/>
      <c r="P28" s="134"/>
      <c r="Q28" s="134"/>
      <c r="R28" s="133"/>
      <c r="S28" s="143"/>
      <c r="T28" s="361"/>
      <c r="U28" s="355" t="e">
        <f t="shared" si="3"/>
        <v>#DIV/0!</v>
      </c>
    </row>
    <row r="29" spans="1:21" ht="21.75" thickBot="1">
      <c r="A29" s="144"/>
      <c r="B29" s="146" t="s">
        <v>83</v>
      </c>
      <c r="C29" s="138"/>
      <c r="D29" s="385"/>
      <c r="E29" s="322">
        <f t="shared" si="0"/>
        <v>0</v>
      </c>
      <c r="F29" s="322" t="e">
        <f t="shared" si="1"/>
        <v>#DIV/0!</v>
      </c>
      <c r="G29" s="330" t="e">
        <f t="shared" si="2"/>
        <v>#DIV/0!</v>
      </c>
      <c r="H29" s="322"/>
      <c r="I29" s="322"/>
      <c r="J29" s="326"/>
      <c r="K29" s="149"/>
      <c r="L29" s="298"/>
      <c r="M29" s="298"/>
      <c r="N29" s="327"/>
      <c r="O29" s="136"/>
      <c r="P29" s="134"/>
      <c r="Q29" s="134"/>
      <c r="R29" s="133"/>
      <c r="S29" s="143"/>
      <c r="T29" s="361"/>
      <c r="U29" s="355" t="e">
        <f t="shared" si="3"/>
        <v>#DIV/0!</v>
      </c>
    </row>
    <row r="30" spans="1:21" ht="21.75" thickBot="1">
      <c r="A30" s="144"/>
      <c r="B30" s="146" t="s">
        <v>13</v>
      </c>
      <c r="C30" s="138"/>
      <c r="D30" s="385"/>
      <c r="E30" s="322">
        <f t="shared" si="0"/>
        <v>0</v>
      </c>
      <c r="F30" s="322" t="e">
        <f t="shared" si="1"/>
        <v>#DIV/0!</v>
      </c>
      <c r="G30" s="330" t="e">
        <f t="shared" si="2"/>
        <v>#DIV/0!</v>
      </c>
      <c r="H30" s="322"/>
      <c r="I30" s="322"/>
      <c r="J30" s="326"/>
      <c r="K30" s="149"/>
      <c r="L30" s="298"/>
      <c r="M30" s="298"/>
      <c r="N30" s="327"/>
      <c r="O30" s="136"/>
      <c r="P30" s="134"/>
      <c r="Q30" s="134"/>
      <c r="R30" s="133"/>
      <c r="S30" s="143"/>
      <c r="T30" s="361"/>
      <c r="U30" s="355" t="e">
        <f t="shared" si="3"/>
        <v>#DIV/0!</v>
      </c>
    </row>
    <row r="31" spans="1:21" ht="21.75" thickBot="1">
      <c r="A31" s="144"/>
      <c r="B31" s="139" t="s">
        <v>84</v>
      </c>
      <c r="C31" s="138"/>
      <c r="D31" s="385"/>
      <c r="E31" s="322">
        <f t="shared" si="0"/>
        <v>0</v>
      </c>
      <c r="F31" s="322" t="e">
        <f t="shared" si="1"/>
        <v>#DIV/0!</v>
      </c>
      <c r="G31" s="330" t="e">
        <f t="shared" si="2"/>
        <v>#DIV/0!</v>
      </c>
      <c r="H31" s="322"/>
      <c r="I31" s="322"/>
      <c r="J31" s="326"/>
      <c r="K31" s="149"/>
      <c r="L31" s="298"/>
      <c r="M31" s="298"/>
      <c r="N31" s="327"/>
      <c r="O31" s="136"/>
      <c r="P31" s="134"/>
      <c r="Q31" s="134"/>
      <c r="R31" s="133"/>
      <c r="S31" s="143"/>
      <c r="T31" s="361"/>
      <c r="U31" s="355" t="e">
        <f t="shared" si="3"/>
        <v>#DIV/0!</v>
      </c>
    </row>
    <row r="32" spans="1:21" ht="21.75" hidden="1" thickBot="1">
      <c r="A32" s="144"/>
      <c r="B32" s="139" t="s">
        <v>11</v>
      </c>
      <c r="C32" s="138"/>
      <c r="D32" s="385"/>
      <c r="E32" s="322">
        <f t="shared" si="0"/>
        <v>0</v>
      </c>
      <c r="F32" s="322" t="e">
        <f t="shared" si="1"/>
        <v>#DIV/0!</v>
      </c>
      <c r="G32" s="330" t="e">
        <f t="shared" si="2"/>
        <v>#DIV/0!</v>
      </c>
      <c r="H32" s="322"/>
      <c r="I32" s="322"/>
      <c r="J32" s="326"/>
      <c r="K32" s="149"/>
      <c r="L32" s="298"/>
      <c r="M32" s="298"/>
      <c r="N32" s="327"/>
      <c r="O32" s="136"/>
      <c r="P32" s="134"/>
      <c r="Q32" s="134"/>
      <c r="R32" s="133"/>
      <c r="S32" s="143"/>
      <c r="T32" s="361"/>
      <c r="U32" s="355" t="e">
        <f t="shared" si="3"/>
        <v>#DIV/0!</v>
      </c>
    </row>
    <row r="33" spans="1:21" ht="21.75" hidden="1" thickBot="1">
      <c r="A33" s="144"/>
      <c r="B33" s="139" t="s">
        <v>10</v>
      </c>
      <c r="C33" s="138"/>
      <c r="D33" s="385"/>
      <c r="E33" s="322">
        <f t="shared" si="0"/>
        <v>0</v>
      </c>
      <c r="F33" s="322" t="e">
        <f t="shared" si="1"/>
        <v>#DIV/0!</v>
      </c>
      <c r="G33" s="330" t="e">
        <f t="shared" si="2"/>
        <v>#DIV/0!</v>
      </c>
      <c r="H33" s="322"/>
      <c r="I33" s="322"/>
      <c r="J33" s="326"/>
      <c r="K33" s="149"/>
      <c r="L33" s="298"/>
      <c r="M33" s="298"/>
      <c r="N33" s="327"/>
      <c r="O33" s="136"/>
      <c r="P33" s="134"/>
      <c r="Q33" s="134"/>
      <c r="R33" s="133"/>
      <c r="S33" s="143"/>
      <c r="T33" s="361"/>
      <c r="U33" s="355" t="e">
        <f t="shared" si="3"/>
        <v>#DIV/0!</v>
      </c>
    </row>
    <row r="34" spans="1:21" ht="21.75" hidden="1" thickBot="1">
      <c r="A34" s="144"/>
      <c r="B34" s="139" t="s">
        <v>9</v>
      </c>
      <c r="C34" s="138"/>
      <c r="D34" s="385"/>
      <c r="E34" s="322">
        <f t="shared" si="0"/>
        <v>0</v>
      </c>
      <c r="F34" s="322" t="e">
        <f t="shared" si="1"/>
        <v>#DIV/0!</v>
      </c>
      <c r="G34" s="330" t="e">
        <f t="shared" si="2"/>
        <v>#DIV/0!</v>
      </c>
      <c r="H34" s="322"/>
      <c r="I34" s="322"/>
      <c r="J34" s="326"/>
      <c r="K34" s="149"/>
      <c r="L34" s="298"/>
      <c r="M34" s="298"/>
      <c r="N34" s="327"/>
      <c r="O34" s="136"/>
      <c r="P34" s="134"/>
      <c r="Q34" s="134"/>
      <c r="R34" s="133"/>
      <c r="S34" s="143"/>
      <c r="T34" s="361"/>
      <c r="U34" s="355" t="e">
        <f t="shared" si="3"/>
        <v>#DIV/0!</v>
      </c>
    </row>
    <row r="35" spans="1:21" ht="21.75" thickBot="1">
      <c r="A35" s="144"/>
      <c r="B35" s="139" t="s">
        <v>8</v>
      </c>
      <c r="C35" s="138"/>
      <c r="D35" s="385"/>
      <c r="E35" s="322">
        <f t="shared" si="0"/>
        <v>0</v>
      </c>
      <c r="F35" s="322" t="e">
        <f t="shared" si="1"/>
        <v>#DIV/0!</v>
      </c>
      <c r="G35" s="330" t="e">
        <f t="shared" si="2"/>
        <v>#DIV/0!</v>
      </c>
      <c r="H35" s="322"/>
      <c r="I35" s="322"/>
      <c r="J35" s="326"/>
      <c r="K35" s="149"/>
      <c r="L35" s="298"/>
      <c r="M35" s="298"/>
      <c r="N35" s="327"/>
      <c r="O35" s="136"/>
      <c r="P35" s="134"/>
      <c r="Q35" s="134"/>
      <c r="R35" s="133"/>
      <c r="S35" s="143"/>
      <c r="T35" s="361"/>
      <c r="U35" s="355" t="e">
        <f t="shared" si="3"/>
        <v>#DIV/0!</v>
      </c>
    </row>
    <row r="36" spans="1:21" ht="21.75" thickBot="1">
      <c r="A36" s="144"/>
      <c r="B36" s="139"/>
      <c r="C36" s="138"/>
      <c r="D36" s="385"/>
      <c r="E36" s="322"/>
      <c r="F36" s="322"/>
      <c r="G36" s="330"/>
      <c r="H36" s="322"/>
      <c r="I36" s="322"/>
      <c r="J36" s="326"/>
      <c r="K36" s="149"/>
      <c r="L36" s="298"/>
      <c r="M36" s="298"/>
      <c r="N36" s="327"/>
      <c r="O36" s="136"/>
      <c r="P36" s="134"/>
      <c r="Q36" s="134"/>
      <c r="R36" s="133"/>
      <c r="S36" s="143"/>
      <c r="T36" s="361"/>
      <c r="U36" s="421"/>
    </row>
    <row r="37" spans="1:21" ht="21.75" thickBot="1">
      <c r="A37" s="144"/>
      <c r="B37" s="139"/>
      <c r="C37" s="138"/>
      <c r="D37" s="385"/>
      <c r="E37" s="322"/>
      <c r="F37" s="322"/>
      <c r="G37" s="330"/>
      <c r="H37" s="322"/>
      <c r="I37" s="322"/>
      <c r="J37" s="326"/>
      <c r="K37" s="149"/>
      <c r="L37" s="298"/>
      <c r="M37" s="298"/>
      <c r="N37" s="327"/>
      <c r="O37" s="136"/>
      <c r="P37" s="134"/>
      <c r="Q37" s="134"/>
      <c r="R37" s="133"/>
      <c r="S37" s="143"/>
      <c r="T37" s="361"/>
      <c r="U37" s="421"/>
    </row>
    <row r="38" spans="1:21" ht="21.75" thickBot="1">
      <c r="A38" s="144"/>
      <c r="B38" s="139"/>
      <c r="C38" s="138"/>
      <c r="D38" s="385"/>
      <c r="E38" s="322"/>
      <c r="F38" s="322"/>
      <c r="G38" s="330"/>
      <c r="H38" s="322"/>
      <c r="I38" s="322"/>
      <c r="J38" s="326"/>
      <c r="K38" s="149"/>
      <c r="L38" s="298"/>
      <c r="M38" s="298"/>
      <c r="N38" s="327"/>
      <c r="O38" s="136"/>
      <c r="P38" s="134"/>
      <c r="Q38" s="134"/>
      <c r="R38" s="133"/>
      <c r="S38" s="143"/>
      <c r="T38" s="361"/>
      <c r="U38" s="421"/>
    </row>
    <row r="39" spans="1:21" ht="21.75" thickBot="1">
      <c r="A39" s="144"/>
      <c r="B39" s="139"/>
      <c r="C39" s="138"/>
      <c r="D39" s="385"/>
      <c r="E39" s="322"/>
      <c r="F39" s="322"/>
      <c r="G39" s="330"/>
      <c r="H39" s="322"/>
      <c r="I39" s="322"/>
      <c r="J39" s="326"/>
      <c r="K39" s="149"/>
      <c r="L39" s="298"/>
      <c r="M39" s="298"/>
      <c r="N39" s="327"/>
      <c r="O39" s="136"/>
      <c r="P39" s="134"/>
      <c r="Q39" s="134"/>
      <c r="R39" s="133"/>
      <c r="S39" s="143"/>
      <c r="T39" s="361"/>
      <c r="U39" s="421"/>
    </row>
    <row r="40" spans="1:21" ht="21.75" thickBot="1">
      <c r="A40" s="144"/>
      <c r="B40" s="139"/>
      <c r="C40" s="138"/>
      <c r="D40" s="385"/>
      <c r="E40" s="322"/>
      <c r="F40" s="322"/>
      <c r="G40" s="330"/>
      <c r="H40" s="322"/>
      <c r="I40" s="322"/>
      <c r="J40" s="326"/>
      <c r="K40" s="149"/>
      <c r="L40" s="298"/>
      <c r="M40" s="298"/>
      <c r="N40" s="327"/>
      <c r="O40" s="136"/>
      <c r="P40" s="134"/>
      <c r="Q40" s="134"/>
      <c r="R40" s="133"/>
      <c r="S40" s="143"/>
      <c r="T40" s="361"/>
      <c r="U40" s="421"/>
    </row>
    <row r="41" spans="1:21" ht="21.75" thickBot="1">
      <c r="A41" s="140"/>
      <c r="B41" s="139" t="s">
        <v>7</v>
      </c>
      <c r="C41" s="138"/>
      <c r="D41" s="385"/>
      <c r="E41" s="322"/>
      <c r="F41" s="322"/>
      <c r="G41" s="330"/>
      <c r="H41" s="322"/>
      <c r="I41" s="322"/>
      <c r="J41" s="326"/>
      <c r="K41" s="326"/>
      <c r="L41" s="298"/>
      <c r="M41" s="298"/>
      <c r="N41" s="327"/>
      <c r="O41" s="136"/>
      <c r="P41" s="135"/>
      <c r="Q41" s="134"/>
      <c r="R41" s="133"/>
      <c r="S41" s="132"/>
      <c r="T41" s="362"/>
      <c r="U41" s="356"/>
    </row>
    <row r="42" spans="1:21" ht="21.75" thickBot="1">
      <c r="A42" s="128"/>
      <c r="B42" s="173" t="s">
        <v>108</v>
      </c>
      <c r="C42" s="267"/>
      <c r="D42" s="126"/>
      <c r="E42" s="363"/>
      <c r="F42" s="363"/>
      <c r="G42" s="363"/>
      <c r="H42" s="364"/>
      <c r="I42" s="364"/>
      <c r="J42" s="365"/>
      <c r="K42" s="364"/>
      <c r="L42" s="366"/>
      <c r="M42" s="366"/>
      <c r="N42" s="367"/>
      <c r="O42" s="125"/>
      <c r="P42" s="124"/>
      <c r="Q42" s="124"/>
      <c r="R42" s="123"/>
      <c r="S42" s="122"/>
      <c r="T42" s="368"/>
      <c r="U42" s="357"/>
    </row>
    <row r="43" spans="1:21">
      <c r="A43" s="65"/>
      <c r="B43" s="65"/>
      <c r="C43" s="114"/>
      <c r="D43" s="119"/>
      <c r="E43" s="119"/>
      <c r="F43" s="331"/>
      <c r="H43" s="119"/>
      <c r="I43" s="119"/>
      <c r="J43" s="119"/>
      <c r="K43" s="119"/>
      <c r="L43" s="358"/>
      <c r="M43" s="358"/>
      <c r="N43" s="359"/>
      <c r="O43" s="118"/>
      <c r="P43" s="118"/>
      <c r="Q43" s="118"/>
      <c r="R43" s="49"/>
      <c r="S43" s="65"/>
      <c r="T43" s="332"/>
    </row>
    <row r="44" spans="1:21">
      <c r="B44" s="56"/>
      <c r="C44" s="32"/>
      <c r="D44" s="40"/>
      <c r="E44" s="40"/>
      <c r="F44" s="40"/>
      <c r="G44" s="40"/>
      <c r="H44" s="40"/>
      <c r="I44" s="40"/>
      <c r="J44" s="40"/>
      <c r="K44" s="40"/>
      <c r="L44" s="299"/>
      <c r="M44" s="299"/>
      <c r="N44" s="9"/>
      <c r="O44" s="40"/>
      <c r="P44" s="40"/>
      <c r="Q44" s="40"/>
      <c r="R44" s="116"/>
      <c r="S44" s="40"/>
      <c r="T44" s="116"/>
      <c r="U44" s="44"/>
    </row>
    <row r="45" spans="1:21">
      <c r="B45" s="56"/>
      <c r="C45" s="32"/>
      <c r="D45" s="61"/>
      <c r="E45" s="61"/>
      <c r="F45" s="61"/>
      <c r="G45" s="61"/>
      <c r="H45" s="61"/>
      <c r="I45" s="61"/>
      <c r="J45" s="61"/>
      <c r="K45" s="61"/>
      <c r="L45" s="300"/>
      <c r="M45" s="300"/>
      <c r="N45" s="32"/>
      <c r="O45" s="61"/>
      <c r="P45" s="61"/>
      <c r="Q45" s="61"/>
      <c r="R45" s="59"/>
      <c r="S45" s="61"/>
      <c r="T45" s="61"/>
      <c r="U45" s="44"/>
    </row>
    <row r="46" spans="1:21">
      <c r="B46" s="56"/>
      <c r="C46" s="117"/>
      <c r="D46" s="45"/>
      <c r="E46" s="45"/>
      <c r="F46" s="45"/>
      <c r="G46" s="45"/>
      <c r="H46" s="45"/>
      <c r="I46" s="45"/>
      <c r="J46" s="45"/>
      <c r="K46" s="45"/>
      <c r="L46" s="301"/>
      <c r="M46" s="301"/>
      <c r="N46" s="32"/>
      <c r="O46" s="117"/>
      <c r="P46" s="45"/>
      <c r="Q46" s="45"/>
      <c r="R46" s="117"/>
      <c r="S46" s="59"/>
      <c r="T46" s="59"/>
      <c r="U46" s="44"/>
    </row>
    <row r="47" spans="1:21">
      <c r="B47" s="56"/>
      <c r="C47" s="32"/>
      <c r="D47" s="40"/>
      <c r="E47" s="40"/>
      <c r="F47" s="40"/>
      <c r="G47" s="40"/>
      <c r="H47" s="40"/>
      <c r="I47" s="40"/>
      <c r="J47" s="40"/>
      <c r="K47" s="40"/>
      <c r="L47" s="299"/>
      <c r="M47" s="299"/>
      <c r="N47" s="32"/>
      <c r="O47" s="71"/>
      <c r="P47" s="40"/>
      <c r="Q47" s="40"/>
      <c r="R47" s="116"/>
      <c r="S47" s="40"/>
      <c r="T47" s="116"/>
      <c r="U47" s="44"/>
    </row>
    <row r="48" spans="1:21">
      <c r="B48" s="56"/>
      <c r="C48" s="32"/>
      <c r="D48" s="35"/>
      <c r="E48" s="35"/>
      <c r="F48" s="35"/>
      <c r="G48" s="35"/>
      <c r="H48" s="35"/>
      <c r="I48" s="35"/>
      <c r="J48" s="35"/>
      <c r="K48" s="35"/>
      <c r="L48" s="302"/>
      <c r="M48" s="302"/>
      <c r="N48" s="32"/>
      <c r="O48" s="59"/>
      <c r="P48" s="35"/>
      <c r="Q48" s="35"/>
      <c r="R48" s="59"/>
      <c r="S48" s="35"/>
      <c r="T48" s="35"/>
      <c r="U48" s="39"/>
    </row>
    <row r="49" spans="1:41">
      <c r="A49" s="65"/>
      <c r="B49" s="24"/>
      <c r="C49" s="16"/>
      <c r="D49" s="115"/>
      <c r="E49" s="115"/>
      <c r="F49" s="115"/>
      <c r="G49" s="115"/>
      <c r="H49" s="115"/>
      <c r="I49" s="115"/>
      <c r="J49" s="115"/>
      <c r="K49" s="115"/>
      <c r="L49" s="303"/>
      <c r="M49" s="303"/>
      <c r="N49" s="24"/>
      <c r="O49" s="47"/>
      <c r="P49" s="47"/>
      <c r="Q49" s="47"/>
      <c r="R49" s="47"/>
      <c r="S49" s="25"/>
    </row>
    <row r="50" spans="1:41">
      <c r="A50" s="65"/>
      <c r="B50" s="24"/>
      <c r="C50" s="114"/>
      <c r="D50" s="113"/>
      <c r="E50" s="113"/>
      <c r="F50" s="113"/>
      <c r="G50" s="113"/>
      <c r="H50" s="113"/>
      <c r="I50" s="113"/>
      <c r="J50" s="113"/>
      <c r="K50" s="113"/>
      <c r="L50" s="304"/>
      <c r="M50" s="304"/>
      <c r="N50" s="112"/>
      <c r="O50" s="66"/>
      <c r="P50" s="66"/>
      <c r="Q50" s="66"/>
      <c r="R50" s="66"/>
      <c r="S50" s="65"/>
    </row>
    <row r="51" spans="1:41">
      <c r="A51" s="111"/>
      <c r="B51" s="349"/>
      <c r="C51" s="110"/>
      <c r="D51" s="109"/>
      <c r="E51" s="109"/>
      <c r="F51" s="109"/>
      <c r="G51" s="109"/>
      <c r="H51" s="109"/>
      <c r="I51" s="109"/>
      <c r="J51" s="109"/>
      <c r="K51" s="109"/>
      <c r="L51" s="305"/>
      <c r="M51" s="305"/>
      <c r="N51" s="108"/>
      <c r="O51" s="12"/>
      <c r="P51" s="78"/>
      <c r="Q51" s="78"/>
      <c r="R51" s="16"/>
      <c r="S51" s="77"/>
    </row>
    <row r="52" spans="1:41">
      <c r="A52" s="80"/>
      <c r="B52" s="349"/>
      <c r="C52" s="74"/>
      <c r="D52" s="2"/>
      <c r="E52" s="2"/>
      <c r="F52" s="2"/>
      <c r="G52" s="2"/>
      <c r="H52" s="2"/>
      <c r="I52" s="2"/>
      <c r="J52" s="2"/>
      <c r="K52" s="2"/>
      <c r="L52" s="306"/>
      <c r="M52" s="306"/>
      <c r="N52" s="79"/>
      <c r="O52" s="12"/>
      <c r="P52" s="78"/>
      <c r="Q52" s="78"/>
      <c r="R52" s="16"/>
      <c r="S52" s="15"/>
      <c r="T52" s="77"/>
      <c r="U52" s="15"/>
    </row>
    <row r="53" spans="1:41" ht="21.75" thickBot="1">
      <c r="B53" s="97"/>
      <c r="C53" s="105"/>
      <c r="D53" s="349"/>
      <c r="E53" s="349"/>
      <c r="F53" s="349"/>
      <c r="G53" s="349"/>
      <c r="H53" s="349"/>
      <c r="I53" s="349"/>
      <c r="J53" s="349"/>
      <c r="K53" s="349"/>
      <c r="L53" s="307"/>
      <c r="M53" s="307"/>
      <c r="T53" s="32"/>
      <c r="U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1:41">
      <c r="B54" s="156"/>
      <c r="C54" s="32"/>
      <c r="D54" s="32"/>
      <c r="E54" s="32"/>
      <c r="F54" s="32"/>
      <c r="G54" s="32"/>
      <c r="H54" s="32"/>
      <c r="I54" s="32"/>
      <c r="J54" s="32"/>
      <c r="K54" s="32"/>
      <c r="L54" s="288"/>
      <c r="M54" s="288"/>
      <c r="N54" s="92"/>
      <c r="O54" s="32"/>
      <c r="P54" s="32"/>
      <c r="Q54" s="32"/>
      <c r="R54" s="32"/>
      <c r="S54" s="32"/>
      <c r="T54" s="31"/>
      <c r="U54" s="31"/>
      <c r="Y54" s="340"/>
      <c r="Z54" s="199"/>
      <c r="AA54" s="199"/>
      <c r="AB54" s="104"/>
      <c r="AC54" s="104"/>
      <c r="AD54" s="104"/>
      <c r="AE54" s="104"/>
      <c r="AF54" s="104"/>
      <c r="AG54" s="104"/>
    </row>
    <row r="55" spans="1:41">
      <c r="B55" s="147"/>
      <c r="C55" s="31"/>
      <c r="D55" s="31"/>
      <c r="E55" s="31"/>
      <c r="F55" s="31"/>
      <c r="G55" s="31"/>
      <c r="H55" s="31"/>
      <c r="I55" s="31"/>
      <c r="J55" s="31"/>
      <c r="K55" s="31"/>
      <c r="L55" s="289"/>
      <c r="M55" s="289"/>
      <c r="N55" s="92"/>
      <c r="O55" s="31"/>
      <c r="P55" s="31"/>
      <c r="Q55" s="31"/>
      <c r="R55" s="31"/>
      <c r="S55" s="31"/>
      <c r="T55" s="32"/>
      <c r="U55" s="32"/>
      <c r="AE55" s="97"/>
      <c r="AJ55" s="97"/>
    </row>
    <row r="56" spans="1:41">
      <c r="A56" s="100"/>
      <c r="B56" s="139"/>
      <c r="C56" s="95"/>
      <c r="D56" s="31"/>
      <c r="E56" s="31"/>
      <c r="F56" s="31"/>
      <c r="G56" s="31"/>
      <c r="H56" s="31"/>
      <c r="I56" s="31"/>
      <c r="J56" s="31"/>
      <c r="K56" s="31"/>
      <c r="L56" s="289"/>
      <c r="M56" s="289"/>
      <c r="N56" s="92"/>
      <c r="O56" s="71"/>
      <c r="P56" s="32"/>
      <c r="Q56" s="32"/>
      <c r="R56" s="31"/>
      <c r="S56" s="32"/>
      <c r="T56" s="31"/>
    </row>
    <row r="57" spans="1:41">
      <c r="A57" s="102"/>
      <c r="B57" s="139"/>
      <c r="C57" s="95"/>
      <c r="D57" s="31"/>
      <c r="E57" s="31"/>
      <c r="F57" s="31"/>
      <c r="G57" s="31"/>
      <c r="H57" s="31"/>
      <c r="I57" s="31"/>
      <c r="J57" s="31"/>
      <c r="K57" s="31"/>
      <c r="L57" s="289"/>
      <c r="M57" s="289"/>
      <c r="N57" s="92"/>
      <c r="O57" s="71"/>
      <c r="P57" s="31"/>
      <c r="Q57" s="31"/>
      <c r="R57" s="31"/>
      <c r="S57" s="32"/>
      <c r="T57" s="31"/>
    </row>
    <row r="58" spans="1:41">
      <c r="A58" s="102"/>
      <c r="B58" s="139"/>
      <c r="C58" s="95"/>
      <c r="D58" s="101"/>
      <c r="E58" s="101"/>
      <c r="F58" s="101"/>
      <c r="G58" s="101"/>
      <c r="H58" s="101"/>
      <c r="I58" s="101"/>
      <c r="J58" s="101"/>
      <c r="K58" s="101"/>
      <c r="L58" s="308"/>
      <c r="M58" s="308"/>
      <c r="N58" s="92"/>
      <c r="O58" s="32"/>
      <c r="P58" s="31"/>
      <c r="Q58" s="31"/>
      <c r="R58" s="31"/>
      <c r="S58" s="32"/>
    </row>
    <row r="59" spans="1:41">
      <c r="A59" s="99"/>
      <c r="B59" s="139"/>
      <c r="C59" s="31"/>
      <c r="D59" s="101"/>
      <c r="E59" s="101"/>
      <c r="F59" s="101"/>
      <c r="G59" s="101"/>
      <c r="H59" s="101"/>
      <c r="I59" s="101"/>
      <c r="J59" s="101"/>
      <c r="K59" s="101"/>
      <c r="L59" s="308"/>
      <c r="M59" s="308"/>
      <c r="N59" s="92"/>
      <c r="O59" s="32"/>
      <c r="P59" s="42"/>
      <c r="Q59" s="42"/>
      <c r="R59" s="31"/>
      <c r="S59" s="32"/>
    </row>
    <row r="60" spans="1:41">
      <c r="B60" s="139"/>
      <c r="C60" s="105"/>
      <c r="N60" s="92"/>
      <c r="P60" s="31"/>
      <c r="Q60" s="31"/>
    </row>
    <row r="61" spans="1:41">
      <c r="B61" s="139"/>
      <c r="C61" s="32"/>
      <c r="D61" s="32"/>
      <c r="E61" s="32"/>
      <c r="F61" s="32"/>
      <c r="G61" s="32"/>
      <c r="H61" s="32"/>
      <c r="I61" s="32"/>
      <c r="J61" s="32"/>
      <c r="K61" s="32"/>
      <c r="L61" s="288"/>
      <c r="M61" s="288"/>
      <c r="N61" s="92"/>
      <c r="O61" s="32"/>
      <c r="P61" s="31"/>
      <c r="Q61" s="31"/>
      <c r="R61" s="32"/>
      <c r="S61" s="32"/>
      <c r="T61" s="32"/>
      <c r="U61" s="32"/>
    </row>
    <row r="62" spans="1:41">
      <c r="B62" s="139"/>
      <c r="C62" s="31"/>
      <c r="D62" s="31"/>
      <c r="E62" s="31"/>
      <c r="F62" s="31"/>
      <c r="G62" s="31"/>
      <c r="H62" s="31"/>
      <c r="I62" s="31"/>
      <c r="J62" s="31"/>
      <c r="K62" s="31"/>
      <c r="L62" s="289"/>
      <c r="M62" s="289"/>
      <c r="N62" s="92"/>
      <c r="O62" s="31"/>
      <c r="P62" s="31"/>
      <c r="Q62" s="31"/>
      <c r="R62" s="31"/>
      <c r="S62" s="31"/>
      <c r="T62" s="31"/>
      <c r="U62" s="31"/>
    </row>
    <row r="63" spans="1:41">
      <c r="A63" s="100"/>
      <c r="B63" s="139"/>
      <c r="C63" s="32"/>
      <c r="D63" s="32"/>
      <c r="E63" s="32"/>
      <c r="F63" s="32"/>
      <c r="G63" s="32"/>
      <c r="H63" s="32"/>
      <c r="I63" s="32"/>
      <c r="J63" s="32"/>
      <c r="K63" s="32"/>
      <c r="L63" s="288"/>
      <c r="M63" s="288"/>
      <c r="N63" s="92"/>
      <c r="O63" s="32"/>
      <c r="P63" s="31"/>
      <c r="Q63" s="31"/>
      <c r="R63" s="32"/>
      <c r="S63" s="32"/>
      <c r="T63" s="32"/>
      <c r="U63" s="32"/>
    </row>
    <row r="64" spans="1:41">
      <c r="A64" s="102"/>
      <c r="B64" s="139"/>
      <c r="C64" s="32"/>
      <c r="D64" s="103"/>
      <c r="E64" s="103"/>
      <c r="F64" s="103"/>
      <c r="G64" s="103"/>
      <c r="H64" s="103"/>
      <c r="I64" s="103"/>
      <c r="J64" s="103"/>
      <c r="K64" s="103"/>
      <c r="L64" s="310"/>
      <c r="M64" s="310"/>
      <c r="N64" s="92"/>
      <c r="O64" s="32"/>
      <c r="P64" s="31"/>
      <c r="Q64" s="31"/>
      <c r="R64" s="31"/>
      <c r="S64" s="32"/>
      <c r="T64" s="31"/>
    </row>
    <row r="65" spans="1:21">
      <c r="A65" s="102"/>
      <c r="B65" s="139"/>
      <c r="C65" s="32"/>
      <c r="D65" s="101"/>
      <c r="E65" s="101"/>
      <c r="F65" s="101"/>
      <c r="G65" s="101"/>
      <c r="H65" s="101"/>
      <c r="I65" s="101"/>
      <c r="J65" s="101"/>
      <c r="K65" s="101"/>
      <c r="L65" s="308"/>
      <c r="M65" s="308"/>
      <c r="N65" s="92"/>
      <c r="O65" s="32"/>
      <c r="P65" s="31"/>
      <c r="Q65" s="31"/>
      <c r="R65" s="31"/>
      <c r="S65" s="32"/>
      <c r="T65" s="31"/>
    </row>
    <row r="66" spans="1:21">
      <c r="A66" s="99"/>
      <c r="B66" s="139"/>
      <c r="C66" s="31"/>
      <c r="D66" s="31"/>
      <c r="E66" s="31"/>
      <c r="F66" s="31"/>
      <c r="G66" s="31"/>
      <c r="H66" s="31"/>
      <c r="I66" s="31"/>
      <c r="J66" s="31"/>
      <c r="K66" s="31"/>
      <c r="L66" s="289"/>
      <c r="M66" s="289"/>
      <c r="N66" s="92"/>
      <c r="O66" s="32"/>
      <c r="P66" s="42"/>
      <c r="Q66" s="42"/>
      <c r="R66" s="31"/>
      <c r="S66" s="32"/>
      <c r="T66" s="32"/>
    </row>
    <row r="67" spans="1:21">
      <c r="A67" s="99"/>
      <c r="B67" s="139"/>
      <c r="C67" s="31"/>
      <c r="D67" s="31"/>
      <c r="E67" s="31"/>
      <c r="F67" s="31"/>
      <c r="G67" s="31"/>
      <c r="H67" s="31"/>
      <c r="I67" s="31"/>
      <c r="J67" s="31"/>
      <c r="K67" s="31"/>
      <c r="L67" s="289"/>
      <c r="M67" s="289"/>
      <c r="N67" s="92"/>
      <c r="O67" s="32"/>
      <c r="P67" s="32"/>
      <c r="Q67" s="32"/>
      <c r="R67" s="31"/>
      <c r="S67" s="32"/>
      <c r="T67" s="32"/>
    </row>
    <row r="68" spans="1:21">
      <c r="A68" s="53"/>
      <c r="B68" s="139"/>
      <c r="C68" s="31"/>
      <c r="D68" s="31"/>
      <c r="E68" s="31"/>
      <c r="F68" s="31"/>
      <c r="G68" s="31"/>
      <c r="H68" s="31"/>
      <c r="I68" s="31"/>
      <c r="J68" s="31"/>
      <c r="K68" s="31"/>
      <c r="L68" s="289"/>
      <c r="M68" s="289"/>
      <c r="N68" s="92"/>
      <c r="O68" s="97"/>
      <c r="P68" s="97"/>
      <c r="Q68" s="97"/>
      <c r="T68" s="32"/>
    </row>
    <row r="69" spans="1:21">
      <c r="A69" s="24"/>
      <c r="B69" s="139"/>
      <c r="C69" s="24"/>
      <c r="D69" s="98"/>
      <c r="E69" s="98"/>
      <c r="F69" s="98"/>
      <c r="G69" s="98"/>
      <c r="H69" s="98"/>
      <c r="I69" s="98"/>
      <c r="J69" s="98"/>
      <c r="K69" s="98"/>
      <c r="L69" s="293"/>
      <c r="M69" s="293"/>
      <c r="N69" s="70"/>
      <c r="O69" s="24"/>
      <c r="P69" s="9"/>
      <c r="Q69" s="9"/>
      <c r="R69" s="24"/>
      <c r="S69" s="24"/>
      <c r="U69" s="97"/>
    </row>
    <row r="70" spans="1:21">
      <c r="A70" s="20"/>
      <c r="B70" s="139"/>
      <c r="C70" s="20"/>
      <c r="D70" s="20"/>
      <c r="E70" s="20"/>
      <c r="F70" s="20"/>
      <c r="G70" s="20"/>
      <c r="H70" s="20"/>
      <c r="I70" s="20"/>
      <c r="J70" s="20"/>
      <c r="K70" s="20"/>
      <c r="L70" s="311"/>
      <c r="M70" s="311"/>
      <c r="N70" s="96"/>
      <c r="O70" s="18"/>
      <c r="P70" s="23"/>
      <c r="Q70" s="23"/>
      <c r="R70" s="22"/>
      <c r="S70" s="21"/>
      <c r="U70" s="95"/>
    </row>
    <row r="71" spans="1:21">
      <c r="A71" s="80"/>
      <c r="B71" s="146"/>
      <c r="C71" s="93"/>
      <c r="D71" s="14"/>
      <c r="E71" s="14"/>
      <c r="F71" s="14"/>
      <c r="G71" s="14"/>
      <c r="H71" s="14"/>
      <c r="I71" s="14"/>
      <c r="J71" s="14"/>
      <c r="K71" s="14"/>
      <c r="L71" s="312"/>
      <c r="M71" s="312"/>
      <c r="N71" s="92"/>
      <c r="O71" s="12"/>
      <c r="P71" s="17"/>
      <c r="Q71" s="17"/>
      <c r="R71" s="16"/>
      <c r="S71" s="15"/>
      <c r="U71" s="84"/>
    </row>
    <row r="72" spans="1:21">
      <c r="A72" s="91"/>
      <c r="B72" s="146"/>
      <c r="C72" s="90"/>
      <c r="D72" s="89"/>
      <c r="E72" s="89"/>
      <c r="F72" s="89"/>
      <c r="G72" s="89"/>
      <c r="H72" s="89"/>
      <c r="I72" s="89"/>
      <c r="J72" s="89"/>
      <c r="K72" s="89"/>
      <c r="L72" s="313"/>
      <c r="M72" s="313"/>
      <c r="N72" s="70"/>
      <c r="O72" s="88"/>
      <c r="P72" s="87"/>
      <c r="Q72" s="87"/>
      <c r="R72" s="86"/>
      <c r="S72" s="85"/>
      <c r="U72" s="84"/>
    </row>
    <row r="73" spans="1:21">
      <c r="A73" s="20"/>
      <c r="B73" s="146"/>
      <c r="C73" s="20"/>
      <c r="D73" s="20"/>
      <c r="E73" s="20"/>
      <c r="F73" s="20"/>
      <c r="G73" s="20"/>
      <c r="H73" s="20"/>
      <c r="I73" s="20"/>
      <c r="J73" s="20"/>
      <c r="K73" s="20"/>
      <c r="L73" s="311"/>
      <c r="M73" s="311"/>
      <c r="N73" s="82"/>
      <c r="O73" s="22"/>
      <c r="P73" s="23"/>
      <c r="Q73" s="23"/>
      <c r="R73" s="22"/>
      <c r="S73" s="21"/>
      <c r="U73" s="74"/>
    </row>
    <row r="74" spans="1:21">
      <c r="A74" s="80"/>
      <c r="B74" s="146"/>
      <c r="C74" s="74"/>
      <c r="D74" s="2"/>
      <c r="E74" s="2"/>
      <c r="F74" s="2"/>
      <c r="G74" s="2"/>
      <c r="H74" s="2"/>
      <c r="I74" s="2"/>
      <c r="J74" s="2"/>
      <c r="K74" s="2"/>
      <c r="L74" s="306"/>
      <c r="M74" s="306"/>
      <c r="N74" s="81"/>
      <c r="O74" s="12"/>
      <c r="P74" s="78"/>
      <c r="Q74" s="78"/>
      <c r="R74" s="16"/>
      <c r="S74" s="77"/>
      <c r="U74" s="74"/>
    </row>
    <row r="75" spans="1:21">
      <c r="A75" s="80"/>
      <c r="B75" s="146"/>
      <c r="C75" s="74"/>
      <c r="D75" s="2"/>
      <c r="E75" s="2"/>
      <c r="F75" s="2"/>
      <c r="G75" s="2"/>
      <c r="H75" s="2"/>
      <c r="I75" s="2"/>
      <c r="J75" s="2"/>
      <c r="K75" s="2"/>
      <c r="L75" s="306"/>
      <c r="M75" s="306"/>
      <c r="N75" s="79"/>
      <c r="O75" s="12"/>
      <c r="P75" s="78"/>
      <c r="Q75" s="78"/>
      <c r="R75" s="16"/>
      <c r="S75" s="77"/>
      <c r="U75" s="74"/>
    </row>
    <row r="76" spans="1:21">
      <c r="A76" s="80"/>
      <c r="B76" s="139"/>
      <c r="C76" s="74"/>
      <c r="D76" s="2"/>
      <c r="E76" s="2"/>
      <c r="F76" s="2"/>
      <c r="G76" s="2"/>
      <c r="H76" s="2"/>
      <c r="I76" s="2"/>
      <c r="J76" s="2"/>
      <c r="K76" s="2"/>
      <c r="L76" s="306"/>
      <c r="M76" s="306"/>
      <c r="N76" s="79"/>
      <c r="O76" s="12"/>
      <c r="P76" s="78"/>
      <c r="Q76" s="78"/>
      <c r="R76" s="16"/>
      <c r="S76" s="77"/>
      <c r="U76" s="74"/>
    </row>
    <row r="77" spans="1:21">
      <c r="A77" s="80"/>
      <c r="B77" s="139"/>
      <c r="C77" s="74"/>
      <c r="D77" s="2"/>
      <c r="E77" s="2"/>
      <c r="F77" s="2"/>
      <c r="G77" s="2"/>
      <c r="H77" s="2"/>
      <c r="I77" s="2"/>
      <c r="J77" s="2"/>
      <c r="K77" s="2"/>
      <c r="L77" s="306"/>
      <c r="M77" s="306"/>
      <c r="N77" s="79"/>
      <c r="O77" s="12"/>
      <c r="P77" s="78"/>
      <c r="Q77" s="78"/>
      <c r="R77" s="16"/>
      <c r="S77" s="77"/>
      <c r="U77" s="74"/>
    </row>
    <row r="78" spans="1:21">
      <c r="A78" s="80"/>
      <c r="B78" s="139"/>
      <c r="C78" s="74"/>
      <c r="D78" s="2"/>
      <c r="E78" s="2"/>
      <c r="F78" s="2"/>
      <c r="G78" s="2"/>
      <c r="H78" s="2"/>
      <c r="I78" s="2"/>
      <c r="J78" s="2"/>
      <c r="K78" s="2"/>
      <c r="L78" s="306"/>
      <c r="M78" s="306"/>
      <c r="N78" s="79"/>
      <c r="O78" s="12"/>
      <c r="P78" s="78"/>
      <c r="Q78" s="78"/>
      <c r="R78" s="16"/>
      <c r="S78" s="77"/>
      <c r="U78" s="74"/>
    </row>
    <row r="79" spans="1:21">
      <c r="A79" s="58"/>
      <c r="B79" s="139"/>
      <c r="C79" s="55"/>
      <c r="D79" s="76"/>
      <c r="E79" s="76"/>
      <c r="F79" s="76"/>
      <c r="G79" s="76"/>
      <c r="H79" s="76"/>
      <c r="I79" s="76"/>
      <c r="J79" s="76"/>
      <c r="K79" s="76"/>
      <c r="L79" s="314"/>
      <c r="M79" s="314"/>
      <c r="N79" s="55"/>
      <c r="O79" s="75"/>
      <c r="P79" s="72"/>
      <c r="Q79" s="72"/>
      <c r="R79" s="75"/>
      <c r="S79" s="50"/>
      <c r="U79" s="74"/>
    </row>
    <row r="80" spans="1:21">
      <c r="A80" s="58"/>
      <c r="B80" s="139"/>
      <c r="C80" s="55"/>
      <c r="D80" s="76"/>
      <c r="E80" s="76"/>
      <c r="F80" s="76"/>
      <c r="G80" s="76"/>
      <c r="H80" s="76"/>
      <c r="I80" s="76"/>
      <c r="J80" s="76"/>
      <c r="K80" s="76"/>
      <c r="L80" s="314"/>
      <c r="M80" s="314"/>
      <c r="N80" s="55"/>
      <c r="O80" s="75"/>
      <c r="P80" s="72"/>
      <c r="Q80" s="72"/>
      <c r="R80" s="75"/>
      <c r="S80" s="50"/>
      <c r="U80" s="74"/>
    </row>
    <row r="81" spans="1:21">
      <c r="A81" s="58"/>
      <c r="B81" s="10"/>
      <c r="C81" s="55"/>
      <c r="D81" s="62"/>
      <c r="E81" s="62"/>
      <c r="F81" s="62"/>
      <c r="G81" s="62"/>
      <c r="H81" s="62"/>
      <c r="I81" s="62"/>
      <c r="J81" s="62"/>
      <c r="K81" s="62"/>
      <c r="L81" s="315"/>
      <c r="M81" s="315"/>
      <c r="N81" s="55"/>
      <c r="O81" s="69"/>
      <c r="P81" s="72"/>
      <c r="Q81" s="72"/>
      <c r="R81" s="69"/>
      <c r="S81" s="50"/>
      <c r="U81" s="74"/>
    </row>
    <row r="82" spans="1:21">
      <c r="A82" s="58"/>
      <c r="B82" s="10"/>
      <c r="C82" s="55"/>
      <c r="D82" s="62"/>
      <c r="E82" s="62"/>
      <c r="F82" s="62"/>
      <c r="G82" s="62"/>
      <c r="H82" s="62"/>
      <c r="I82" s="62"/>
      <c r="J82" s="62"/>
      <c r="K82" s="62"/>
      <c r="L82" s="315"/>
      <c r="M82" s="315"/>
      <c r="N82" s="55"/>
      <c r="O82" s="69"/>
      <c r="P82" s="72"/>
      <c r="Q82" s="72"/>
      <c r="R82" s="69"/>
      <c r="S82" s="50"/>
      <c r="U82" s="74"/>
    </row>
    <row r="83" spans="1:21">
      <c r="A83" s="58"/>
      <c r="B83" s="10"/>
      <c r="C83" s="55"/>
      <c r="D83" s="62"/>
      <c r="E83" s="62"/>
      <c r="F83" s="62"/>
      <c r="G83" s="62"/>
      <c r="H83" s="62"/>
      <c r="I83" s="62"/>
      <c r="J83" s="62"/>
      <c r="K83" s="62"/>
      <c r="L83" s="315"/>
      <c r="M83" s="315"/>
      <c r="N83" s="55"/>
      <c r="O83" s="69"/>
      <c r="P83" s="72"/>
      <c r="Q83" s="72"/>
      <c r="R83" s="69"/>
      <c r="S83" s="50"/>
      <c r="U83" s="74"/>
    </row>
    <row r="84" spans="1:21">
      <c r="A84" s="58"/>
      <c r="B84" s="10"/>
      <c r="C84" s="55"/>
      <c r="D84" s="62"/>
      <c r="E84" s="62"/>
      <c r="F84" s="62"/>
      <c r="G84" s="62"/>
      <c r="H84" s="62"/>
      <c r="I84" s="62"/>
      <c r="J84" s="62"/>
      <c r="K84" s="62"/>
      <c r="L84" s="315"/>
      <c r="M84" s="315"/>
      <c r="N84" s="55"/>
      <c r="O84" s="69"/>
      <c r="P84" s="72"/>
      <c r="Q84" s="72"/>
      <c r="R84" s="69"/>
      <c r="S84" s="50"/>
      <c r="U84" s="74"/>
    </row>
    <row r="85" spans="1:21">
      <c r="A85" s="58"/>
      <c r="B85" s="10"/>
      <c r="C85" s="55"/>
      <c r="D85" s="62"/>
      <c r="E85" s="62"/>
      <c r="F85" s="62"/>
      <c r="G85" s="62"/>
      <c r="H85" s="62"/>
      <c r="I85" s="62"/>
      <c r="J85" s="62"/>
      <c r="K85" s="62"/>
      <c r="L85" s="315"/>
      <c r="M85" s="315"/>
      <c r="N85" s="55"/>
      <c r="O85" s="69"/>
      <c r="P85" s="72"/>
      <c r="Q85" s="72"/>
      <c r="R85" s="69"/>
      <c r="S85" s="50"/>
      <c r="U85" s="74"/>
    </row>
    <row r="86" spans="1:21">
      <c r="A86" s="58"/>
      <c r="B86" s="10"/>
      <c r="C86" s="55"/>
      <c r="D86" s="62"/>
      <c r="E86" s="62"/>
      <c r="F86" s="62"/>
      <c r="G86" s="62"/>
      <c r="H86" s="62"/>
      <c r="I86" s="62"/>
      <c r="J86" s="62"/>
      <c r="K86" s="62"/>
      <c r="L86" s="315"/>
      <c r="M86" s="315"/>
      <c r="N86" s="55"/>
      <c r="O86" s="69"/>
      <c r="P86" s="72"/>
      <c r="Q86" s="72"/>
      <c r="R86" s="69"/>
      <c r="S86" s="50"/>
      <c r="U86" s="74"/>
    </row>
    <row r="87" spans="1:21">
      <c r="A87" s="58"/>
      <c r="B87" s="10"/>
      <c r="C87" s="55"/>
      <c r="D87" s="62"/>
      <c r="E87" s="62"/>
      <c r="F87" s="62"/>
      <c r="G87" s="62"/>
      <c r="H87" s="62"/>
      <c r="I87" s="62"/>
      <c r="J87" s="62"/>
      <c r="K87" s="62"/>
      <c r="L87" s="315"/>
      <c r="M87" s="315"/>
      <c r="N87" s="55"/>
      <c r="O87" s="69"/>
      <c r="P87" s="72"/>
      <c r="Q87" s="72"/>
      <c r="R87" s="69"/>
      <c r="S87" s="50"/>
      <c r="U87" s="74"/>
    </row>
    <row r="88" spans="1:21">
      <c r="A88" s="58"/>
      <c r="B88" s="10"/>
      <c r="C88" s="55"/>
      <c r="D88" s="62"/>
      <c r="E88" s="62"/>
      <c r="F88" s="62"/>
      <c r="G88" s="62"/>
      <c r="H88" s="62"/>
      <c r="I88" s="62"/>
      <c r="J88" s="62"/>
      <c r="K88" s="62"/>
      <c r="L88" s="315"/>
      <c r="M88" s="315"/>
      <c r="N88" s="55"/>
      <c r="O88" s="69"/>
      <c r="P88" s="72"/>
      <c r="Q88" s="72"/>
      <c r="R88" s="69"/>
      <c r="S88" s="50"/>
      <c r="U88" s="74"/>
    </row>
    <row r="89" spans="1:21">
      <c r="A89" s="58"/>
      <c r="B89" s="10"/>
      <c r="C89" s="55"/>
      <c r="D89" s="62"/>
      <c r="E89" s="62"/>
      <c r="F89" s="62"/>
      <c r="G89" s="62"/>
      <c r="H89" s="62"/>
      <c r="I89" s="62"/>
      <c r="J89" s="62"/>
      <c r="K89" s="62"/>
      <c r="L89" s="315"/>
      <c r="M89" s="315"/>
      <c r="N89" s="55"/>
      <c r="O89" s="69"/>
      <c r="P89" s="72"/>
      <c r="Q89" s="72"/>
      <c r="R89" s="69"/>
      <c r="S89" s="50"/>
      <c r="U89" s="74"/>
    </row>
    <row r="90" spans="1:21">
      <c r="A90" s="58"/>
      <c r="B90" s="10"/>
      <c r="C90" s="55"/>
      <c r="D90" s="62"/>
      <c r="E90" s="62"/>
      <c r="F90" s="62"/>
      <c r="G90" s="62"/>
      <c r="H90" s="62"/>
      <c r="I90" s="62"/>
      <c r="J90" s="62"/>
      <c r="K90" s="62"/>
      <c r="L90" s="315"/>
      <c r="M90" s="315"/>
      <c r="N90" s="55"/>
      <c r="O90" s="69"/>
      <c r="P90" s="72"/>
      <c r="Q90" s="72"/>
      <c r="R90" s="69"/>
      <c r="S90" s="50"/>
      <c r="U90" s="74"/>
    </row>
    <row r="91" spans="1:21">
      <c r="A91" s="58"/>
      <c r="B91" s="10"/>
      <c r="C91" s="55"/>
      <c r="D91" s="62"/>
      <c r="E91" s="62"/>
      <c r="F91" s="62"/>
      <c r="G91" s="62"/>
      <c r="H91" s="62"/>
      <c r="I91" s="62"/>
      <c r="J91" s="62"/>
      <c r="K91" s="62"/>
      <c r="L91" s="315"/>
      <c r="M91" s="315"/>
      <c r="N91" s="55"/>
      <c r="O91" s="69"/>
      <c r="P91" s="72"/>
      <c r="Q91" s="72"/>
      <c r="R91" s="69"/>
      <c r="S91" s="50"/>
      <c r="U91" s="74"/>
    </row>
    <row r="92" spans="1:21">
      <c r="A92" s="58"/>
      <c r="B92" s="10"/>
      <c r="C92" s="55"/>
      <c r="D92" s="62"/>
      <c r="E92" s="62"/>
      <c r="F92" s="62"/>
      <c r="G92" s="62"/>
      <c r="H92" s="62"/>
      <c r="I92" s="62"/>
      <c r="J92" s="62"/>
      <c r="K92" s="62"/>
      <c r="L92" s="315"/>
      <c r="M92" s="315"/>
      <c r="N92" s="55"/>
      <c r="O92" s="69"/>
      <c r="P92" s="72"/>
      <c r="Q92" s="72"/>
      <c r="R92" s="69"/>
      <c r="S92" s="50"/>
      <c r="U92" s="71"/>
    </row>
    <row r="93" spans="1:21">
      <c r="A93" s="58"/>
      <c r="B93" s="10"/>
      <c r="C93" s="55"/>
      <c r="D93" s="62"/>
      <c r="E93" s="62"/>
      <c r="F93" s="62"/>
      <c r="G93" s="62"/>
      <c r="H93" s="62"/>
      <c r="I93" s="62"/>
      <c r="J93" s="62"/>
      <c r="K93" s="62"/>
      <c r="L93" s="315"/>
      <c r="M93" s="315"/>
      <c r="N93" s="55"/>
      <c r="O93" s="69"/>
      <c r="P93" s="72"/>
      <c r="Q93" s="72"/>
      <c r="R93" s="69"/>
      <c r="S93" s="50"/>
      <c r="U93" s="71"/>
    </row>
    <row r="94" spans="1:21">
      <c r="A94" s="58"/>
      <c r="B94" s="11"/>
      <c r="C94" s="55"/>
      <c r="D94" s="62"/>
      <c r="E94" s="62"/>
      <c r="F94" s="62"/>
      <c r="G94" s="62"/>
      <c r="H94" s="62"/>
      <c r="I94" s="62"/>
      <c r="J94" s="62"/>
      <c r="K94" s="62"/>
      <c r="L94" s="315"/>
      <c r="M94" s="315"/>
      <c r="N94" s="55"/>
      <c r="O94" s="69"/>
      <c r="P94" s="70"/>
      <c r="Q94" s="70"/>
      <c r="R94" s="69"/>
      <c r="S94" s="50"/>
      <c r="U94" s="32"/>
    </row>
    <row r="95" spans="1:21">
      <c r="A95" s="58"/>
      <c r="B95" s="11"/>
      <c r="C95" s="55"/>
      <c r="D95" s="62"/>
      <c r="E95" s="62"/>
      <c r="F95" s="62"/>
      <c r="G95" s="62"/>
      <c r="H95" s="62"/>
      <c r="I95" s="62"/>
      <c r="J95" s="62"/>
      <c r="K95" s="62"/>
      <c r="L95" s="315"/>
      <c r="M95" s="315"/>
      <c r="N95" s="55"/>
      <c r="O95" s="69"/>
      <c r="P95" s="70"/>
      <c r="Q95" s="70"/>
      <c r="R95" s="69"/>
      <c r="S95" s="50"/>
      <c r="U95" s="32"/>
    </row>
    <row r="96" spans="1:21">
      <c r="A96" s="58"/>
      <c r="B96" s="11"/>
      <c r="C96" s="55"/>
      <c r="D96" s="62"/>
      <c r="E96" s="62"/>
      <c r="F96" s="62"/>
      <c r="G96" s="62"/>
      <c r="H96" s="62"/>
      <c r="I96" s="62"/>
      <c r="J96" s="62"/>
      <c r="K96" s="62"/>
      <c r="L96" s="315"/>
      <c r="M96" s="315"/>
      <c r="N96" s="55"/>
      <c r="O96" s="68"/>
      <c r="P96" s="67"/>
      <c r="Q96" s="67"/>
      <c r="R96" s="66"/>
      <c r="S96" s="50"/>
      <c r="U96" s="32"/>
    </row>
    <row r="97" spans="1:21">
      <c r="A97" s="58"/>
      <c r="B97" s="11"/>
      <c r="C97" s="55"/>
      <c r="D97" s="54"/>
      <c r="E97" s="54"/>
      <c r="F97" s="54"/>
      <c r="G97" s="54"/>
      <c r="H97" s="54"/>
      <c r="I97" s="54"/>
      <c r="J97" s="54"/>
      <c r="K97" s="54"/>
      <c r="L97" s="316"/>
      <c r="M97" s="316"/>
      <c r="N97" s="55"/>
      <c r="O97" s="66"/>
      <c r="P97" s="67"/>
      <c r="Q97" s="67"/>
      <c r="R97" s="66"/>
      <c r="S97" s="50"/>
    </row>
    <row r="98" spans="1:21">
      <c r="A98" s="58"/>
      <c r="B98" s="10"/>
      <c r="C98" s="55"/>
      <c r="D98" s="62"/>
      <c r="E98" s="62"/>
      <c r="F98" s="62"/>
      <c r="G98" s="62"/>
      <c r="H98" s="62"/>
      <c r="I98" s="62"/>
      <c r="J98" s="62"/>
      <c r="K98" s="62"/>
      <c r="L98" s="315"/>
      <c r="M98" s="315"/>
      <c r="N98" s="55"/>
      <c r="O98" s="64"/>
      <c r="P98" s="52"/>
      <c r="Q98" s="52"/>
      <c r="R98" s="64"/>
      <c r="S98" s="50"/>
      <c r="T98" s="63"/>
      <c r="U98" s="44"/>
    </row>
    <row r="99" spans="1:21">
      <c r="A99" s="58"/>
      <c r="B99" s="10"/>
      <c r="C99" s="55"/>
      <c r="D99" s="62"/>
      <c r="E99" s="62"/>
      <c r="F99" s="62"/>
      <c r="G99" s="62"/>
      <c r="H99" s="62"/>
      <c r="I99" s="62"/>
      <c r="J99" s="62"/>
      <c r="K99" s="62"/>
      <c r="L99" s="315"/>
      <c r="M99" s="315"/>
      <c r="N99" s="55"/>
      <c r="O99" s="51"/>
      <c r="P99" s="51"/>
      <c r="Q99" s="51"/>
      <c r="R99" s="51"/>
      <c r="S99" s="50"/>
      <c r="T99" s="61"/>
      <c r="U99" s="44"/>
    </row>
    <row r="100" spans="1:21">
      <c r="A100" s="58"/>
      <c r="B100" s="10"/>
      <c r="C100" s="55"/>
      <c r="D100" s="62"/>
      <c r="E100" s="62"/>
      <c r="F100" s="62"/>
      <c r="G100" s="62"/>
      <c r="H100" s="62"/>
      <c r="I100" s="62"/>
      <c r="J100" s="62"/>
      <c r="K100" s="62"/>
      <c r="L100" s="315"/>
      <c r="M100" s="315"/>
      <c r="N100" s="55"/>
      <c r="O100" s="51"/>
      <c r="P100" s="51"/>
      <c r="Q100" s="51"/>
      <c r="R100" s="51"/>
      <c r="S100" s="50"/>
      <c r="T100" s="61"/>
      <c r="U100" s="44"/>
    </row>
    <row r="101" spans="1:21">
      <c r="A101" s="58"/>
      <c r="B101" s="10"/>
      <c r="C101" s="55"/>
      <c r="D101" s="54"/>
      <c r="E101" s="54"/>
      <c r="F101" s="54"/>
      <c r="G101" s="54"/>
      <c r="H101" s="54"/>
      <c r="I101" s="54"/>
      <c r="J101" s="54"/>
      <c r="K101" s="54"/>
      <c r="L101" s="316"/>
      <c r="M101" s="316"/>
      <c r="N101" s="55"/>
      <c r="O101" s="51"/>
      <c r="P101" s="60"/>
      <c r="Q101" s="60"/>
      <c r="R101" s="51"/>
      <c r="S101" s="50"/>
      <c r="T101" s="59"/>
      <c r="U101" s="44"/>
    </row>
    <row r="102" spans="1:21">
      <c r="A102" s="58"/>
      <c r="B102" s="10"/>
      <c r="C102" s="55"/>
      <c r="D102" s="57"/>
      <c r="E102" s="57"/>
      <c r="F102" s="57"/>
      <c r="G102" s="57"/>
      <c r="H102" s="57"/>
      <c r="I102" s="57"/>
      <c r="J102" s="57"/>
      <c r="K102" s="57"/>
      <c r="L102" s="317"/>
      <c r="M102" s="317"/>
      <c r="N102" s="55"/>
      <c r="O102" s="51"/>
      <c r="P102" s="52"/>
      <c r="Q102" s="52"/>
      <c r="R102" s="51"/>
      <c r="S102" s="50"/>
      <c r="T102" s="40"/>
      <c r="U102" s="44"/>
    </row>
    <row r="103" spans="1:21">
      <c r="A103" s="53"/>
      <c r="B103" s="56"/>
      <c r="C103" s="55"/>
      <c r="D103" s="54"/>
      <c r="E103" s="54"/>
      <c r="F103" s="54"/>
      <c r="G103" s="54"/>
      <c r="H103" s="54"/>
      <c r="I103" s="54"/>
      <c r="J103" s="54"/>
      <c r="K103" s="54"/>
      <c r="L103" s="316"/>
      <c r="M103" s="316"/>
      <c r="N103" s="53"/>
      <c r="O103" s="51"/>
      <c r="P103" s="52"/>
      <c r="Q103" s="52"/>
      <c r="R103" s="51"/>
      <c r="S103" s="50"/>
      <c r="T103" s="35"/>
      <c r="U103" s="39"/>
    </row>
    <row r="104" spans="1:21">
      <c r="A104" s="49"/>
      <c r="B104" s="24"/>
      <c r="C104" s="16"/>
      <c r="D104" s="48"/>
      <c r="E104" s="48"/>
      <c r="F104" s="48"/>
      <c r="G104" s="48"/>
      <c r="H104" s="48"/>
      <c r="I104" s="48"/>
      <c r="J104" s="48"/>
      <c r="K104" s="48"/>
      <c r="L104" s="318"/>
      <c r="M104" s="318"/>
      <c r="N104" s="24"/>
      <c r="O104" s="47"/>
      <c r="P104" s="47"/>
      <c r="Q104" s="47"/>
      <c r="R104" s="47"/>
      <c r="S104" s="25"/>
    </row>
    <row r="105" spans="1:21">
      <c r="A105" s="34"/>
      <c r="B105" s="31"/>
      <c r="C105" s="46"/>
      <c r="D105" s="601"/>
      <c r="E105" s="601"/>
      <c r="F105" s="601"/>
      <c r="G105" s="601"/>
      <c r="H105" s="601"/>
      <c r="I105" s="601"/>
      <c r="J105" s="601"/>
      <c r="K105" s="601"/>
      <c r="L105" s="601"/>
      <c r="M105" s="601"/>
      <c r="N105" s="601"/>
      <c r="O105" s="601"/>
      <c r="P105" s="45"/>
      <c r="Q105" s="45"/>
      <c r="R105" s="31"/>
      <c r="S105" s="45"/>
      <c r="T105" s="40"/>
      <c r="U105" s="44"/>
    </row>
    <row r="106" spans="1:21">
      <c r="A106" s="34"/>
      <c r="B106" s="41"/>
      <c r="C106" s="31"/>
      <c r="D106" s="601"/>
      <c r="E106" s="601"/>
      <c r="F106" s="601"/>
      <c r="G106" s="601"/>
      <c r="H106" s="601"/>
      <c r="I106" s="601"/>
      <c r="J106" s="601"/>
      <c r="K106" s="601"/>
      <c r="L106" s="601"/>
      <c r="M106" s="601"/>
      <c r="N106" s="601"/>
      <c r="O106" s="601"/>
      <c r="P106" s="40"/>
      <c r="Q106" s="40"/>
      <c r="R106" s="31"/>
      <c r="S106" s="40"/>
      <c r="T106" s="35"/>
      <c r="U106" s="39"/>
    </row>
    <row r="107" spans="1:21">
      <c r="B107" s="37"/>
      <c r="C107" s="36"/>
      <c r="D107" s="601"/>
      <c r="E107" s="601"/>
      <c r="F107" s="601"/>
      <c r="G107" s="601"/>
      <c r="H107" s="601"/>
      <c r="I107" s="601"/>
      <c r="J107" s="601"/>
      <c r="K107" s="601"/>
      <c r="L107" s="601"/>
      <c r="M107" s="601"/>
      <c r="N107" s="601"/>
      <c r="O107" s="601"/>
      <c r="P107" s="35"/>
      <c r="Q107" s="35"/>
      <c r="S107" s="35"/>
    </row>
    <row r="108" spans="1:21">
      <c r="A108" s="34"/>
      <c r="B108" s="33"/>
      <c r="C108" s="9"/>
      <c r="D108" s="31"/>
      <c r="E108" s="31"/>
      <c r="F108" s="31"/>
      <c r="G108" s="31"/>
      <c r="H108" s="31"/>
      <c r="I108" s="31"/>
      <c r="J108" s="31"/>
      <c r="K108" s="31"/>
      <c r="L108" s="289"/>
      <c r="M108" s="289"/>
      <c r="N108" s="596"/>
      <c r="O108" s="596"/>
      <c r="P108" s="32"/>
      <c r="Q108" s="32"/>
      <c r="R108" s="32"/>
    </row>
    <row r="109" spans="1:21">
      <c r="B109" s="10"/>
      <c r="C109" s="9"/>
      <c r="D109" s="31"/>
      <c r="E109" s="31"/>
      <c r="F109" s="31"/>
      <c r="G109" s="31"/>
      <c r="H109" s="31"/>
      <c r="I109" s="31"/>
      <c r="J109" s="31"/>
      <c r="K109" s="31"/>
      <c r="L109" s="289"/>
      <c r="M109" s="289"/>
      <c r="N109" s="32"/>
      <c r="O109" s="32"/>
      <c r="P109" s="32"/>
      <c r="Q109" s="32"/>
      <c r="R109" s="32"/>
    </row>
    <row r="110" spans="1:21">
      <c r="B110" s="10"/>
      <c r="C110" s="9"/>
      <c r="D110" s="31"/>
      <c r="E110" s="31"/>
      <c r="F110" s="31"/>
      <c r="G110" s="31"/>
      <c r="H110" s="31"/>
      <c r="I110" s="31"/>
      <c r="J110" s="31"/>
      <c r="K110" s="31"/>
      <c r="L110" s="289"/>
      <c r="M110" s="289"/>
      <c r="O110" s="32"/>
      <c r="P110" s="32"/>
      <c r="Q110" s="32"/>
      <c r="R110" s="32"/>
    </row>
    <row r="111" spans="1:21">
      <c r="A111" s="29"/>
      <c r="B111" s="10"/>
      <c r="C111" s="9"/>
      <c r="D111" s="31"/>
      <c r="E111" s="31"/>
      <c r="F111" s="31"/>
      <c r="G111" s="31"/>
      <c r="H111" s="31"/>
      <c r="I111" s="31"/>
      <c r="J111" s="31"/>
      <c r="K111" s="31"/>
      <c r="L111" s="289"/>
      <c r="M111" s="289"/>
      <c r="N111" s="31"/>
      <c r="P111" s="29"/>
      <c r="Q111" s="29"/>
      <c r="R111" s="29"/>
      <c r="S111" s="30"/>
    </row>
    <row r="112" spans="1:21">
      <c r="B112" s="10"/>
      <c r="C112" s="9"/>
      <c r="D112" s="29"/>
      <c r="E112" s="29"/>
      <c r="F112" s="29"/>
      <c r="G112" s="29"/>
      <c r="H112" s="29"/>
      <c r="I112" s="29"/>
      <c r="J112" s="29"/>
      <c r="K112" s="29"/>
      <c r="L112" s="319"/>
      <c r="M112" s="319"/>
      <c r="N112" s="29"/>
      <c r="O112" s="29"/>
      <c r="P112" s="26"/>
      <c r="Q112" s="26"/>
      <c r="R112" s="26"/>
      <c r="S112" s="28"/>
    </row>
    <row r="113" spans="1:19">
      <c r="A113" s="24"/>
      <c r="B113" s="10"/>
      <c r="C113" s="9"/>
      <c r="D113" s="27"/>
      <c r="E113" s="27"/>
      <c r="F113" s="27"/>
      <c r="G113" s="27"/>
      <c r="H113" s="27"/>
      <c r="I113" s="27"/>
      <c r="J113" s="27"/>
      <c r="K113" s="27"/>
      <c r="L113" s="320"/>
      <c r="M113" s="320"/>
      <c r="N113" s="26"/>
      <c r="O113" s="26"/>
      <c r="P113" s="24"/>
      <c r="Q113" s="24"/>
      <c r="R113" s="24"/>
      <c r="S113" s="24"/>
    </row>
    <row r="114" spans="1:19">
      <c r="A114" s="29"/>
      <c r="B114" s="10"/>
      <c r="C114" s="9"/>
      <c r="D114" s="24"/>
      <c r="E114" s="24"/>
      <c r="F114" s="24"/>
      <c r="G114" s="24"/>
      <c r="H114" s="24"/>
      <c r="I114" s="24"/>
      <c r="J114" s="24"/>
      <c r="K114" s="24"/>
      <c r="L114" s="321"/>
      <c r="M114" s="321"/>
      <c r="N114" s="24"/>
      <c r="O114" s="24"/>
      <c r="P114" s="29"/>
      <c r="Q114" s="29"/>
      <c r="R114" s="29"/>
      <c r="S114" s="30"/>
    </row>
    <row r="115" spans="1:19">
      <c r="A115" s="3"/>
      <c r="B115" s="10"/>
      <c r="C115" s="9"/>
      <c r="D115" s="29"/>
      <c r="E115" s="29"/>
      <c r="F115" s="29"/>
      <c r="G115" s="29"/>
      <c r="H115" s="29"/>
      <c r="I115" s="29"/>
      <c r="J115" s="29"/>
      <c r="K115" s="29"/>
      <c r="L115" s="319"/>
      <c r="M115" s="319"/>
      <c r="N115" s="29"/>
      <c r="O115" s="29"/>
      <c r="P115" s="26"/>
      <c r="Q115" s="26"/>
      <c r="R115" s="26"/>
      <c r="S115" s="28"/>
    </row>
    <row r="116" spans="1:19">
      <c r="A116" s="24"/>
      <c r="B116" s="10"/>
      <c r="C116" s="9"/>
      <c r="D116" s="27"/>
      <c r="E116" s="27"/>
      <c r="F116" s="27"/>
      <c r="G116" s="27"/>
      <c r="H116" s="27"/>
      <c r="I116" s="27"/>
      <c r="J116" s="27"/>
      <c r="K116" s="27"/>
      <c r="L116" s="320"/>
      <c r="M116" s="320"/>
      <c r="N116" s="26"/>
      <c r="O116" s="26"/>
      <c r="P116" s="25"/>
      <c r="Q116" s="25"/>
      <c r="R116" s="24"/>
      <c r="S116" s="24"/>
    </row>
    <row r="117" spans="1:19">
      <c r="A117" s="20"/>
      <c r="B117" s="10"/>
      <c r="C117" s="9"/>
      <c r="D117" s="24"/>
      <c r="E117" s="24"/>
      <c r="F117" s="24"/>
      <c r="G117" s="24"/>
      <c r="H117" s="24"/>
      <c r="I117" s="24"/>
      <c r="J117" s="24"/>
      <c r="K117" s="24"/>
      <c r="L117" s="321"/>
      <c r="M117" s="321"/>
      <c r="N117" s="25"/>
      <c r="O117" s="24"/>
      <c r="P117" s="23"/>
      <c r="Q117" s="23"/>
      <c r="R117" s="22"/>
      <c r="S117" s="21"/>
    </row>
    <row r="118" spans="1:19">
      <c r="A118" s="14"/>
      <c r="B118" s="11"/>
      <c r="C118" s="9"/>
      <c r="D118" s="20"/>
      <c r="E118" s="20"/>
      <c r="F118" s="20"/>
      <c r="G118" s="20"/>
      <c r="H118" s="20"/>
      <c r="I118" s="20"/>
      <c r="J118" s="20"/>
      <c r="K118" s="20"/>
      <c r="L118" s="311"/>
      <c r="M118" s="311"/>
      <c r="N118" s="19"/>
      <c r="O118" s="18"/>
      <c r="P118" s="17"/>
      <c r="Q118" s="17"/>
      <c r="R118" s="16"/>
      <c r="S118" s="15"/>
    </row>
    <row r="119" spans="1:19">
      <c r="A119" s="7"/>
      <c r="B119" s="11"/>
      <c r="C119" s="9"/>
      <c r="D119" s="14"/>
      <c r="E119" s="14"/>
      <c r="F119" s="14"/>
      <c r="G119" s="14"/>
      <c r="H119" s="14"/>
      <c r="I119" s="14"/>
      <c r="J119" s="14"/>
      <c r="K119" s="14"/>
      <c r="L119" s="312"/>
      <c r="M119" s="312"/>
      <c r="N119" s="13"/>
      <c r="O119" s="12"/>
    </row>
    <row r="120" spans="1:19">
      <c r="A120" s="7"/>
      <c r="B120" s="11"/>
      <c r="C120" s="9"/>
      <c r="D120" s="349"/>
      <c r="E120" s="349"/>
      <c r="F120" s="349"/>
      <c r="G120" s="349"/>
      <c r="H120" s="349"/>
      <c r="I120" s="349"/>
      <c r="J120" s="349"/>
      <c r="K120" s="349"/>
      <c r="L120" s="307"/>
      <c r="M120" s="307"/>
      <c r="N120" s="349"/>
      <c r="O120" s="349"/>
    </row>
    <row r="121" spans="1:19">
      <c r="A121" s="7"/>
      <c r="B121" s="10"/>
      <c r="C121" s="9"/>
      <c r="D121" s="349"/>
      <c r="E121" s="349"/>
      <c r="F121" s="349"/>
      <c r="G121" s="349"/>
      <c r="H121" s="349"/>
      <c r="I121" s="349"/>
      <c r="J121" s="349"/>
      <c r="K121" s="349"/>
      <c r="L121" s="307"/>
      <c r="M121" s="307"/>
      <c r="N121" s="349"/>
      <c r="O121" s="349"/>
    </row>
    <row r="122" spans="1:19">
      <c r="A122" s="7"/>
      <c r="B122" s="10"/>
      <c r="C122" s="9"/>
      <c r="D122" s="349"/>
      <c r="E122" s="349"/>
      <c r="F122" s="349"/>
      <c r="G122" s="349"/>
      <c r="H122" s="349"/>
      <c r="I122" s="349"/>
      <c r="J122" s="349"/>
      <c r="K122" s="349"/>
      <c r="L122" s="307"/>
      <c r="M122" s="307"/>
      <c r="N122" s="349"/>
      <c r="O122" s="349"/>
    </row>
    <row r="123" spans="1:19">
      <c r="A123" s="7"/>
      <c r="B123" s="10"/>
      <c r="C123" s="9"/>
      <c r="D123" s="349"/>
      <c r="E123" s="349"/>
      <c r="F123" s="349"/>
      <c r="G123" s="349"/>
      <c r="H123" s="349"/>
      <c r="I123" s="349"/>
      <c r="J123" s="349"/>
      <c r="K123" s="349"/>
      <c r="L123" s="307"/>
      <c r="M123" s="307"/>
      <c r="N123" s="349"/>
      <c r="O123" s="349"/>
    </row>
    <row r="124" spans="1:19">
      <c r="A124" s="7"/>
      <c r="B124" s="8"/>
      <c r="C124" s="349"/>
      <c r="D124" s="349"/>
      <c r="E124" s="349"/>
      <c r="F124" s="349"/>
      <c r="G124" s="349"/>
      <c r="H124" s="349"/>
      <c r="I124" s="349"/>
      <c r="J124" s="349"/>
      <c r="K124" s="349"/>
      <c r="L124" s="307"/>
      <c r="M124" s="307"/>
      <c r="N124" s="349"/>
      <c r="O124" s="349"/>
    </row>
    <row r="125" spans="1:19">
      <c r="A125" s="7"/>
      <c r="B125" s="8"/>
      <c r="C125" s="349"/>
      <c r="D125" s="349"/>
      <c r="E125" s="349"/>
      <c r="F125" s="349"/>
      <c r="G125" s="349"/>
      <c r="H125" s="349"/>
      <c r="I125" s="349"/>
      <c r="J125" s="349"/>
      <c r="K125" s="349"/>
      <c r="L125" s="307"/>
      <c r="M125" s="307"/>
      <c r="N125" s="349"/>
      <c r="O125" s="349"/>
    </row>
    <row r="126" spans="1:19">
      <c r="A126" s="7"/>
      <c r="B126" s="349"/>
      <c r="C126" s="349"/>
      <c r="D126" s="349"/>
      <c r="E126" s="349"/>
      <c r="F126" s="349"/>
      <c r="G126" s="349"/>
      <c r="H126" s="349"/>
      <c r="I126" s="349"/>
      <c r="J126" s="349"/>
      <c r="K126" s="349"/>
      <c r="L126" s="307"/>
      <c r="M126" s="307"/>
      <c r="N126" s="349"/>
      <c r="O126" s="349"/>
    </row>
    <row r="127" spans="1:19">
      <c r="A127" s="7"/>
      <c r="B127" s="349"/>
      <c r="C127" s="349"/>
      <c r="D127" s="349"/>
      <c r="E127" s="349"/>
      <c r="F127" s="349"/>
      <c r="G127" s="349"/>
      <c r="H127" s="349"/>
      <c r="I127" s="349"/>
      <c r="J127" s="349"/>
      <c r="K127" s="349"/>
      <c r="L127" s="307"/>
      <c r="M127" s="307"/>
      <c r="N127" s="349"/>
      <c r="O127" s="349"/>
    </row>
    <row r="128" spans="1:19">
      <c r="A128" s="7"/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07"/>
      <c r="M128" s="307"/>
      <c r="N128" s="349"/>
      <c r="O128" s="349"/>
    </row>
    <row r="129" spans="1:15">
      <c r="A129" s="7"/>
      <c r="B129" s="349"/>
      <c r="C129" s="349"/>
      <c r="N129" s="349"/>
      <c r="O129" s="349"/>
    </row>
    <row r="130" spans="1:15">
      <c r="A130" s="7"/>
      <c r="B130" s="349"/>
      <c r="C130" s="349"/>
      <c r="D130" s="349"/>
      <c r="E130" s="349"/>
      <c r="F130" s="349"/>
      <c r="G130" s="349"/>
      <c r="H130" s="349"/>
      <c r="I130" s="349"/>
      <c r="J130" s="349"/>
      <c r="K130" s="349"/>
      <c r="L130" s="307"/>
      <c r="M130" s="307"/>
      <c r="N130" s="349"/>
      <c r="O130" s="349"/>
    </row>
    <row r="131" spans="1:15">
      <c r="A131" s="7"/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07"/>
      <c r="M131" s="307"/>
      <c r="N131" s="349"/>
      <c r="O131" s="349"/>
    </row>
    <row r="132" spans="1:15">
      <c r="A132" s="7"/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07"/>
      <c r="M132" s="307"/>
      <c r="N132" s="349"/>
      <c r="O132" s="349"/>
    </row>
    <row r="133" spans="1:15">
      <c r="A133" s="7"/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07"/>
      <c r="M133" s="307"/>
    </row>
    <row r="134" spans="1:15">
      <c r="A134" s="7"/>
      <c r="B134" s="349"/>
      <c r="C134" s="349"/>
      <c r="D134" s="349"/>
      <c r="E134" s="349"/>
      <c r="F134" s="349"/>
      <c r="G134" s="349"/>
      <c r="H134" s="349"/>
      <c r="I134" s="349"/>
      <c r="J134" s="349"/>
      <c r="K134" s="349"/>
      <c r="L134" s="307"/>
      <c r="M134" s="307"/>
    </row>
    <row r="135" spans="1:15">
      <c r="A135" s="7"/>
      <c r="B135" s="349"/>
      <c r="C135" s="349"/>
      <c r="D135" s="349"/>
      <c r="E135" s="349"/>
      <c r="F135" s="349"/>
      <c r="G135" s="349"/>
      <c r="H135" s="349"/>
      <c r="I135" s="349"/>
      <c r="J135" s="349"/>
      <c r="K135" s="349"/>
      <c r="L135" s="307"/>
      <c r="M135" s="307"/>
    </row>
    <row r="136" spans="1:15">
      <c r="A136" s="6"/>
      <c r="B136" s="5"/>
    </row>
    <row r="139" spans="1:15">
      <c r="A139" s="4"/>
    </row>
    <row r="140" spans="1:15">
      <c r="A140" s="3"/>
      <c r="B140" s="349"/>
    </row>
    <row r="156" spans="14:18">
      <c r="N156" s="349"/>
      <c r="O156" s="349"/>
      <c r="P156" s="349"/>
      <c r="Q156" s="349"/>
      <c r="R156" s="349"/>
    </row>
    <row r="157" spans="14:18">
      <c r="N157" s="349"/>
      <c r="O157" s="349"/>
      <c r="P157" s="349"/>
      <c r="Q157" s="349"/>
      <c r="R157" s="349"/>
    </row>
    <row r="158" spans="14:18">
      <c r="N158" s="349"/>
      <c r="O158" s="349"/>
      <c r="P158" s="2"/>
      <c r="Q158" s="2"/>
      <c r="R158" s="349"/>
    </row>
    <row r="159" spans="14:18">
      <c r="N159" s="349"/>
      <c r="O159" s="349"/>
      <c r="P159" s="2"/>
      <c r="Q159" s="2"/>
      <c r="R159" s="349"/>
    </row>
    <row r="160" spans="14:18">
      <c r="N160" s="349"/>
      <c r="O160" s="349"/>
      <c r="P160" s="349"/>
      <c r="Q160" s="349"/>
      <c r="R160" s="349"/>
    </row>
    <row r="161" spans="14:18">
      <c r="N161" s="349"/>
      <c r="O161" s="349"/>
      <c r="P161" s="349"/>
      <c r="Q161" s="349"/>
      <c r="R161" s="349"/>
    </row>
    <row r="162" spans="14:18">
      <c r="N162" s="349"/>
      <c r="O162" s="349"/>
      <c r="P162" s="349"/>
      <c r="Q162" s="349"/>
      <c r="R162" s="349"/>
    </row>
    <row r="163" spans="14:18">
      <c r="N163" s="349"/>
      <c r="O163" s="349"/>
      <c r="P163" s="349"/>
      <c r="Q163" s="349"/>
      <c r="R163" s="349"/>
    </row>
    <row r="164" spans="14:18">
      <c r="N164" s="349"/>
      <c r="O164" s="349"/>
      <c r="P164" s="349"/>
      <c r="Q164" s="349"/>
      <c r="R164" s="349"/>
    </row>
  </sheetData>
  <mergeCells count="5">
    <mergeCell ref="N108:O108"/>
    <mergeCell ref="N1:P1"/>
    <mergeCell ref="D105:O105"/>
    <mergeCell ref="D106:O106"/>
    <mergeCell ref="D107:O107"/>
  </mergeCells>
  <conditionalFormatting sqref="R9:R41 O21:P23 T21:T23 O29:P31 T29:T42 P32:P41 U41 S41:S42 O44:Q44 S44 P47:Q48 S47:S48 T48 P52:S52 O53 O55:S55 P56:S56 P57:Q57 S57 O58:S59 P60:Q60 S60 P61:S61 O62:Q62 S62 O64 R64 P64:Q65 S64:S65 T66:T67 P67:Q68 S67:S68 P76:S76 O77 P81:R81 O82:Q83 O84:R87 P88:Q88 P89:R91 O89:O93 R92:R93 P92:Q97 T96:T97 O98:R98 T102:T103 P102:Q104 S104 T105:T106 P106:Q107 S106:S107 C116 C119:C123 D44:M44 D47:M48 D96:M97 D101:M101 D103:M103 V41:V42">
    <cfRule type="cellIs" dxfId="4" priority="1" stopIfTrue="1" operator="lessThan">
      <formula>0</formula>
    </cfRule>
  </conditionalFormatting>
  <pageMargins left="0.43" right="0.27" top="0.28999999999999998" bottom="0.39" header="0.15748031496062992" footer="0.19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163"/>
  <sheetViews>
    <sheetView topLeftCell="A19" zoomScale="85" zoomScaleNormal="85" workbookViewId="0">
      <selection activeCell="H56" sqref="H56"/>
    </sheetView>
  </sheetViews>
  <sheetFormatPr defaultRowHeight="21"/>
  <cols>
    <col min="1" max="1" width="16" customWidth="1"/>
    <col min="2" max="2" width="43.85546875" customWidth="1"/>
    <col min="3" max="3" width="17.140625" customWidth="1"/>
    <col min="4" max="4" width="16.42578125" customWidth="1"/>
    <col min="5" max="5" width="24.7109375" hidden="1" customWidth="1"/>
    <col min="6" max="7" width="28.28515625" hidden="1" customWidth="1"/>
    <col min="8" max="8" width="20.85546875" customWidth="1"/>
    <col min="9" max="9" width="25" customWidth="1"/>
    <col min="10" max="10" width="16.42578125" customWidth="1"/>
    <col min="11" max="11" width="14" customWidth="1"/>
    <col min="12" max="13" width="16.42578125" style="309" hidden="1" customWidth="1"/>
    <col min="14" max="14" width="19" hidden="1" customWidth="1"/>
    <col min="15" max="15" width="19.85546875" hidden="1" customWidth="1"/>
    <col min="16" max="17" width="19" hidden="1" customWidth="1"/>
    <col min="18" max="18" width="23.140625" hidden="1" customWidth="1"/>
    <col min="19" max="19" width="2.42578125" hidden="1" customWidth="1"/>
    <col min="20" max="20" width="16.42578125" bestFit="1" customWidth="1"/>
    <col min="21" max="21" width="17.5703125" hidden="1" customWidth="1"/>
    <col min="22" max="22" width="18.7109375" bestFit="1" customWidth="1"/>
    <col min="23" max="23" width="23.28515625" customWidth="1"/>
    <col min="24" max="24" width="17" bestFit="1" customWidth="1"/>
    <col min="25" max="25" width="11.85546875" style="336" customWidth="1"/>
    <col min="26" max="26" width="7.140625" style="32" bestFit="1" customWidth="1"/>
    <col min="27" max="27" width="15" style="32" bestFit="1" customWidth="1"/>
  </cols>
  <sheetData>
    <row r="1" spans="1:36" ht="21.75" thickBot="1">
      <c r="A1" s="266"/>
      <c r="B1" s="265"/>
      <c r="C1" s="597"/>
      <c r="D1" s="598"/>
      <c r="E1" s="263"/>
      <c r="F1" s="263"/>
      <c r="G1" s="263"/>
      <c r="H1" s="263"/>
      <c r="I1" s="263"/>
      <c r="J1" s="263"/>
      <c r="K1" s="263"/>
      <c r="L1" s="286"/>
      <c r="M1" s="286"/>
      <c r="N1" s="597"/>
      <c r="O1" s="598"/>
      <c r="P1" s="264"/>
      <c r="Q1" s="263"/>
      <c r="R1" s="263"/>
      <c r="S1" s="262">
        <v>3</v>
      </c>
      <c r="T1" s="262"/>
      <c r="U1" s="262">
        <v>3</v>
      </c>
    </row>
    <row r="2" spans="1:36" s="1" customFormat="1" ht="21.75" thickBot="1">
      <c r="A2" s="408" t="s">
        <v>111</v>
      </c>
      <c r="B2" s="409" t="s">
        <v>112</v>
      </c>
      <c r="C2" s="412" t="s">
        <v>109</v>
      </c>
      <c r="D2" s="415"/>
      <c r="E2" s="411"/>
      <c r="F2" s="411"/>
      <c r="G2" s="411"/>
      <c r="H2" s="410" t="s">
        <v>110</v>
      </c>
      <c r="I2" s="411"/>
      <c r="J2" s="411"/>
      <c r="K2" s="411"/>
      <c r="L2" s="416"/>
      <c r="M2" s="416"/>
      <c r="N2" s="602" t="s">
        <v>59</v>
      </c>
      <c r="O2" s="602"/>
      <c r="P2" s="603"/>
      <c r="Q2" s="417"/>
      <c r="R2" s="418" t="s">
        <v>58</v>
      </c>
      <c r="S2" s="419"/>
      <c r="T2" s="420"/>
      <c r="U2" s="252"/>
      <c r="V2"/>
      <c r="W2"/>
      <c r="X2"/>
      <c r="Y2" s="338"/>
      <c r="Z2" s="247"/>
      <c r="AA2" s="32"/>
    </row>
    <row r="3" spans="1:36">
      <c r="A3" s="225"/>
      <c r="B3" s="414">
        <f>C3+D3</f>
        <v>96.2</v>
      </c>
      <c r="C3" s="31">
        <v>96.2</v>
      </c>
      <c r="D3" s="238"/>
      <c r="E3" s="284"/>
      <c r="F3" s="284"/>
      <c r="G3" s="284"/>
      <c r="H3" s="284"/>
      <c r="I3" s="284"/>
      <c r="J3" s="284"/>
      <c r="K3" s="284"/>
      <c r="L3" s="289"/>
      <c r="M3" s="289"/>
      <c r="N3" s="234"/>
      <c r="O3" s="235"/>
      <c r="P3" s="220"/>
      <c r="Q3" s="219"/>
      <c r="R3" s="219"/>
      <c r="S3" s="237"/>
      <c r="T3" s="31"/>
      <c r="U3" s="236"/>
      <c r="Y3" s="2"/>
      <c r="Z3" s="234"/>
      <c r="AA3" s="234"/>
      <c r="AB3" s="234"/>
      <c r="AC3" s="104"/>
      <c r="AD3" s="104"/>
      <c r="AE3" s="104"/>
      <c r="AF3" s="104"/>
      <c r="AG3" s="104"/>
    </row>
    <row r="4" spans="1:36" ht="21.75" thickBot="1">
      <c r="A4" s="232">
        <f>B3/B4</f>
        <v>48.1</v>
      </c>
      <c r="B4" s="201">
        <f>C4+D4</f>
        <v>2</v>
      </c>
      <c r="C4" s="223">
        <v>2</v>
      </c>
      <c r="D4" s="231"/>
      <c r="E4" s="280"/>
      <c r="F4" s="280"/>
      <c r="G4" s="280"/>
      <c r="H4" s="280"/>
      <c r="I4" s="280"/>
      <c r="J4" s="280"/>
      <c r="K4" s="280"/>
      <c r="L4" s="290"/>
      <c r="M4" s="290"/>
      <c r="N4" s="230"/>
      <c r="O4" s="229"/>
      <c r="P4" s="228"/>
      <c r="Q4" s="227"/>
      <c r="R4" s="227"/>
      <c r="S4" s="226"/>
      <c r="T4" s="223"/>
      <c r="U4" s="225"/>
      <c r="Y4" s="339"/>
      <c r="Z4" s="222"/>
      <c r="AB4" s="32"/>
      <c r="AE4" s="97"/>
      <c r="AJ4" s="97"/>
    </row>
    <row r="5" spans="1:36" ht="21.75" thickBot="1">
      <c r="A5" s="369"/>
      <c r="B5" s="370">
        <f>A5/A7</f>
        <v>0</v>
      </c>
      <c r="C5" s="103"/>
      <c r="D5" s="95"/>
      <c r="E5" s="95"/>
      <c r="F5" s="95"/>
      <c r="G5" s="95"/>
      <c r="H5" s="95"/>
      <c r="I5" s="95"/>
      <c r="J5" s="95"/>
      <c r="K5" s="95"/>
      <c r="L5" s="291"/>
      <c r="M5" s="291"/>
      <c r="N5" s="32"/>
      <c r="O5" s="221" t="s">
        <v>55</v>
      </c>
      <c r="P5" s="220">
        <f>R5*A5</f>
        <v>0</v>
      </c>
      <c r="Q5" s="219"/>
      <c r="R5" s="218">
        <f>B7*1.09</f>
        <v>14.062132510000001</v>
      </c>
      <c r="S5" s="32" t="s">
        <v>54</v>
      </c>
      <c r="T5" s="31"/>
      <c r="AB5" s="1"/>
      <c r="AC5" s="1"/>
      <c r="AD5" s="1"/>
      <c r="AE5" s="1"/>
    </row>
    <row r="6" spans="1:36">
      <c r="A6" s="372" t="s">
        <v>41</v>
      </c>
      <c r="B6" s="373" t="s">
        <v>101</v>
      </c>
      <c r="C6" s="374" t="s">
        <v>102</v>
      </c>
      <c r="D6" s="375" t="s">
        <v>103</v>
      </c>
      <c r="E6" s="374" t="e">
        <f>D6/1.11</f>
        <v>#VALUE!</v>
      </c>
      <c r="F6" s="374"/>
      <c r="G6" s="374"/>
      <c r="H6" s="374" t="s">
        <v>104</v>
      </c>
      <c r="I6" s="376" t="s">
        <v>105</v>
      </c>
      <c r="J6" s="95"/>
      <c r="K6" s="95"/>
      <c r="L6" s="291"/>
      <c r="M6" s="291"/>
      <c r="N6" s="31" t="e">
        <f>C6+D6</f>
        <v>#VALUE!</v>
      </c>
      <c r="O6" s="212"/>
      <c r="P6" s="215"/>
      <c r="Q6" s="214"/>
      <c r="R6" s="209"/>
      <c r="S6" s="32">
        <v>6439.36</v>
      </c>
      <c r="T6" s="31"/>
      <c r="AB6" s="1"/>
      <c r="AC6" s="1"/>
      <c r="AD6" s="1"/>
      <c r="AE6" s="1"/>
    </row>
    <row r="7" spans="1:36" ht="21.75" thickBot="1">
      <c r="A7" s="371">
        <f>B3</f>
        <v>96.2</v>
      </c>
      <c r="B7" s="581">
        <v>12.901039000000001</v>
      </c>
      <c r="C7" s="378">
        <f>A7*B7</f>
        <v>1241.0799518000001</v>
      </c>
      <c r="D7" s="378">
        <f>C7*0.11</f>
        <v>136.51879469800002</v>
      </c>
      <c r="E7" s="378"/>
      <c r="F7" s="378"/>
      <c r="G7" s="378"/>
      <c r="H7" s="378">
        <f>SUM(C7:D7)</f>
        <v>1377.5987464980001</v>
      </c>
      <c r="I7" s="379">
        <v>307</v>
      </c>
      <c r="J7" s="31"/>
      <c r="K7" s="31"/>
      <c r="L7" s="289"/>
      <c r="M7" s="289"/>
      <c r="N7" s="31">
        <f>B7*1.09</f>
        <v>14.062132510000001</v>
      </c>
      <c r="O7" s="380" t="s">
        <v>52</v>
      </c>
      <c r="P7" s="381">
        <f>SUM(P5:P6)</f>
        <v>0</v>
      </c>
      <c r="Q7" s="382"/>
      <c r="R7" s="383">
        <f>P7/A7</f>
        <v>0</v>
      </c>
      <c r="S7" s="32"/>
      <c r="T7" s="34"/>
      <c r="AB7" s="1"/>
      <c r="AC7" s="1"/>
      <c r="AD7" s="1"/>
      <c r="AE7" s="1"/>
    </row>
    <row r="8" spans="1:36" ht="45" customHeight="1" thickBot="1">
      <c r="A8" s="413">
        <v>45919</v>
      </c>
      <c r="B8" s="24" t="s">
        <v>50</v>
      </c>
      <c r="C8" s="196"/>
      <c r="E8" s="98"/>
      <c r="F8" s="98"/>
      <c r="G8" s="98"/>
      <c r="H8" s="98"/>
      <c r="I8" s="98"/>
      <c r="J8" s="98"/>
      <c r="K8" s="98"/>
      <c r="L8" s="293"/>
      <c r="M8" s="293"/>
      <c r="N8" s="195"/>
      <c r="O8" s="24"/>
      <c r="P8" s="9">
        <f>P10*1.09</f>
        <v>16.895</v>
      </c>
      <c r="Q8" s="9"/>
      <c r="R8" s="24"/>
      <c r="S8" s="24"/>
      <c r="U8" s="97"/>
    </row>
    <row r="9" spans="1:36" s="32" customFormat="1" ht="77.25" customHeight="1" thickBot="1">
      <c r="A9" s="398"/>
      <c r="B9" s="399" t="s">
        <v>48</v>
      </c>
      <c r="C9" s="400"/>
      <c r="D9" s="401" t="s">
        <v>106</v>
      </c>
      <c r="E9" s="401"/>
      <c r="F9" s="401"/>
      <c r="G9" s="401"/>
      <c r="H9" s="401" t="s">
        <v>49</v>
      </c>
      <c r="I9" s="401" t="s">
        <v>107</v>
      </c>
      <c r="J9" s="401" t="s">
        <v>107</v>
      </c>
      <c r="K9" s="402" t="s">
        <v>97</v>
      </c>
      <c r="L9" s="403"/>
      <c r="M9" s="403"/>
      <c r="N9" s="404" t="s">
        <v>40</v>
      </c>
      <c r="O9" s="405" t="s">
        <v>37</v>
      </c>
      <c r="P9" s="402" t="s">
        <v>47</v>
      </c>
      <c r="Q9" s="402"/>
      <c r="R9" s="405" t="s">
        <v>37</v>
      </c>
      <c r="S9" s="406" t="s">
        <v>36</v>
      </c>
      <c r="T9" s="407" t="s">
        <v>35</v>
      </c>
      <c r="U9" s="351"/>
      <c r="V9"/>
      <c r="W9"/>
      <c r="X9"/>
      <c r="Y9" s="336"/>
    </row>
    <row r="10" spans="1:36">
      <c r="A10" s="386"/>
      <c r="B10" s="387" t="s">
        <v>45</v>
      </c>
      <c r="C10" s="388">
        <f>B4</f>
        <v>2</v>
      </c>
      <c r="D10" s="389">
        <f>B3</f>
        <v>96.2</v>
      </c>
      <c r="E10" s="390"/>
      <c r="F10" s="390"/>
      <c r="G10" s="390"/>
      <c r="H10" s="390"/>
      <c r="I10" s="390"/>
      <c r="J10" s="390"/>
      <c r="K10" s="390"/>
      <c r="L10" s="391"/>
      <c r="M10" s="391"/>
      <c r="N10" s="392">
        <f>B7</f>
        <v>12.901039000000001</v>
      </c>
      <c r="O10" s="393">
        <f>((P10)/N10)-1</f>
        <v>0.20145361935577433</v>
      </c>
      <c r="P10" s="394">
        <v>15.5</v>
      </c>
      <c r="Q10" s="394">
        <f>P10*1.09</f>
        <v>16.895</v>
      </c>
      <c r="R10" s="395">
        <f>((S10)/N10)-1</f>
        <v>-1</v>
      </c>
      <c r="S10" s="396">
        <f>T10/1.09</f>
        <v>0</v>
      </c>
      <c r="T10" s="397"/>
      <c r="U10" s="352"/>
    </row>
    <row r="11" spans="1:36">
      <c r="A11" s="176" t="s">
        <v>44</v>
      </c>
      <c r="B11" s="175" t="s">
        <v>43</v>
      </c>
      <c r="C11" s="174">
        <f>D10/C10</f>
        <v>48.1</v>
      </c>
      <c r="D11" s="173" t="s">
        <v>42</v>
      </c>
      <c r="E11" s="173"/>
      <c r="F11" s="173"/>
      <c r="G11" s="173"/>
      <c r="H11" s="173"/>
      <c r="I11" s="173"/>
      <c r="J11" s="173"/>
      <c r="K11" s="173"/>
      <c r="L11" s="296"/>
      <c r="M11" s="296"/>
      <c r="N11" s="324">
        <f>D10*N10</f>
        <v>1241.0799518000001</v>
      </c>
      <c r="O11" s="171">
        <f>N11*O10</f>
        <v>250.02004819999996</v>
      </c>
      <c r="P11" s="170">
        <f>D10*P10</f>
        <v>1491.1000000000001</v>
      </c>
      <c r="Q11" s="170"/>
      <c r="R11" s="169">
        <f>N11*R10</f>
        <v>-1241.0799518000001</v>
      </c>
      <c r="S11" s="168">
        <f>D10*S10</f>
        <v>0</v>
      </c>
      <c r="T11" s="166"/>
      <c r="U11" s="353"/>
      <c r="Y11" s="342"/>
    </row>
    <row r="12" spans="1:36" ht="18.75" customHeight="1" thickBot="1">
      <c r="A12" s="164"/>
      <c r="B12" s="164"/>
      <c r="C12" s="164"/>
      <c r="D12" s="164"/>
      <c r="E12" s="328" t="s">
        <v>92</v>
      </c>
      <c r="F12" s="164" t="s">
        <v>87</v>
      </c>
      <c r="G12" s="329" t="s">
        <v>88</v>
      </c>
      <c r="H12" s="164"/>
      <c r="I12" s="164"/>
      <c r="J12" s="164"/>
      <c r="L12" s="297"/>
      <c r="M12" s="297"/>
      <c r="N12" s="163" t="s">
        <v>40</v>
      </c>
      <c r="O12" s="162" t="s">
        <v>37</v>
      </c>
      <c r="P12" s="160" t="s">
        <v>39</v>
      </c>
      <c r="Q12" s="161" t="s">
        <v>38</v>
      </c>
      <c r="R12" s="162" t="s">
        <v>37</v>
      </c>
      <c r="S12" s="161" t="s">
        <v>36</v>
      </c>
      <c r="T12" s="159"/>
      <c r="U12" s="354" t="s">
        <v>86</v>
      </c>
      <c r="W12" s="335" t="s">
        <v>85</v>
      </c>
      <c r="X12" s="333">
        <f>MAX(T13:T39)</f>
        <v>40</v>
      </c>
      <c r="Y12" s="343"/>
      <c r="Z12" s="344"/>
      <c r="AA12" s="344"/>
    </row>
    <row r="13" spans="1:36" ht="21.75" thickBot="1">
      <c r="A13" s="157" t="s">
        <v>100</v>
      </c>
      <c r="B13" s="156" t="s">
        <v>72</v>
      </c>
      <c r="C13" s="155">
        <v>1.67E-2</v>
      </c>
      <c r="D13" s="384">
        <f t="shared" ref="D13:D40" si="0">$D$10*C13</f>
        <v>1.6065400000000001</v>
      </c>
      <c r="E13" s="322">
        <f>D13*$N$10</f>
        <v>20.726035195060003</v>
      </c>
      <c r="F13" s="322">
        <f t="shared" ref="F13:F40" si="1">D13*$N$10*U13</f>
        <v>4.1452070390120008</v>
      </c>
      <c r="G13" s="330">
        <f t="shared" ref="G13:G40" si="2">F13*$F$42</f>
        <v>7.8382453021558849</v>
      </c>
      <c r="H13" s="322">
        <f t="shared" ref="H13:H14" si="3">IF(D13 &gt; 0, G13/D13, 0)</f>
        <v>4.8789605625480128</v>
      </c>
      <c r="I13" s="322">
        <f>K13-H13</f>
        <v>2.3282466446591936</v>
      </c>
      <c r="J13" s="326">
        <f t="shared" ref="J13:J41" si="4">IF(H13 &gt; 0, I13/H13, 0)</f>
        <v>0.47720136590800366</v>
      </c>
      <c r="K13" s="149">
        <f>T13/1.11</f>
        <v>7.2072072072072064</v>
      </c>
      <c r="L13" s="298">
        <f>T13/$N$10</f>
        <v>0.62010509386104484</v>
      </c>
      <c r="M13" s="298">
        <f>L13/1.6</f>
        <v>0.38756568366315303</v>
      </c>
      <c r="N13" s="327">
        <f>M13*$N$10</f>
        <v>5</v>
      </c>
      <c r="O13" s="153">
        <f t="shared" ref="O13:O38" si="5">(P13/(N13))-1</f>
        <v>0.39999999999999991</v>
      </c>
      <c r="P13" s="152">
        <v>7</v>
      </c>
      <c r="Q13" s="152">
        <f t="shared" ref="Q13:Q40" si="6">P13*1.09</f>
        <v>7.6300000000000008</v>
      </c>
      <c r="R13" s="151">
        <f t="shared" ref="R13:R39" si="7">((S13)/N13)-1</f>
        <v>0.46788990825688059</v>
      </c>
      <c r="S13" s="150">
        <f t="shared" ref="S13:S39" si="8">T13/1.09</f>
        <v>7.3394495412844032</v>
      </c>
      <c r="T13" s="360">
        <v>8</v>
      </c>
      <c r="U13" s="355">
        <f>T13/$X$12</f>
        <v>0.2</v>
      </c>
      <c r="V13" s="337"/>
      <c r="W13" s="335" t="s">
        <v>99</v>
      </c>
      <c r="X13" s="333">
        <f>E41</f>
        <v>1241.0799518000001</v>
      </c>
    </row>
    <row r="14" spans="1:36" ht="21.75" thickBot="1">
      <c r="A14" s="144" t="str">
        <f>$A$13</f>
        <v>307-19092025</v>
      </c>
      <c r="B14" s="147" t="s">
        <v>73</v>
      </c>
      <c r="C14" s="138">
        <v>3.2599999999999997E-2</v>
      </c>
      <c r="D14" s="385">
        <f t="shared" si="0"/>
        <v>3.13612</v>
      </c>
      <c r="E14" s="322">
        <f t="shared" ref="E14:E40" si="9">D14*$N$10</f>
        <v>40.459206428680005</v>
      </c>
      <c r="F14" s="322">
        <f t="shared" si="1"/>
        <v>3.0344404821510005</v>
      </c>
      <c r="G14" s="330">
        <f t="shared" si="2"/>
        <v>5.7378771747817785</v>
      </c>
      <c r="H14" s="322">
        <f t="shared" si="3"/>
        <v>1.829610210955505</v>
      </c>
      <c r="I14" s="322">
        <f>K14-H14</f>
        <v>0.87309249174719761</v>
      </c>
      <c r="J14" s="326">
        <f t="shared" si="4"/>
        <v>0.47720136590800361</v>
      </c>
      <c r="K14" s="149">
        <f t="shared" ref="K14:K39" si="10">T14/1.11</f>
        <v>2.7027027027027026</v>
      </c>
      <c r="L14" s="298">
        <f t="shared" ref="L14:L42" si="11">T14/$N$10</f>
        <v>0.23253941019789179</v>
      </c>
      <c r="M14" s="298">
        <f t="shared" ref="M14:M42" si="12">L14/1.6</f>
        <v>0.14533713137368237</v>
      </c>
      <c r="N14" s="327">
        <f t="shared" ref="N14:N42" si="13">M14*$N$10</f>
        <v>1.875</v>
      </c>
      <c r="O14" s="136">
        <f t="shared" si="5"/>
        <v>6.6666666666666652E-2</v>
      </c>
      <c r="P14" s="134">
        <v>2</v>
      </c>
      <c r="Q14" s="134">
        <f t="shared" si="6"/>
        <v>2.1800000000000002</v>
      </c>
      <c r="R14" s="133">
        <f t="shared" si="7"/>
        <v>0.46788990825688059</v>
      </c>
      <c r="S14" s="143">
        <f t="shared" si="8"/>
        <v>2.7522935779816513</v>
      </c>
      <c r="T14" s="361">
        <v>3</v>
      </c>
      <c r="U14" s="355">
        <f t="shared" ref="U14:U39" si="14">T14/$X$12</f>
        <v>7.4999999999999997E-2</v>
      </c>
      <c r="V14" s="337"/>
      <c r="W14" s="335" t="s">
        <v>98</v>
      </c>
      <c r="X14" s="333">
        <f>T41/1.11</f>
        <v>1833.3249999999998</v>
      </c>
    </row>
    <row r="15" spans="1:36" ht="21.75" hidden="1" thickBot="1">
      <c r="A15" s="144" t="str">
        <f t="shared" ref="A15:A39" si="15">$A$13</f>
        <v>307-19092025</v>
      </c>
      <c r="B15" s="139" t="s">
        <v>32</v>
      </c>
      <c r="C15" s="138">
        <v>0</v>
      </c>
      <c r="D15" s="385">
        <f t="shared" si="0"/>
        <v>0</v>
      </c>
      <c r="E15" s="322">
        <f t="shared" si="9"/>
        <v>0</v>
      </c>
      <c r="F15" s="322">
        <f t="shared" si="1"/>
        <v>0</v>
      </c>
      <c r="G15" s="330">
        <f t="shared" si="2"/>
        <v>0</v>
      </c>
      <c r="H15" s="322">
        <f>IF(D15 &gt; 0, G15/D15, 0)</f>
        <v>0</v>
      </c>
      <c r="I15" s="322">
        <f t="shared" ref="I15:I41" si="16">K15-H15</f>
        <v>9.0090090090090076</v>
      </c>
      <c r="J15" s="326">
        <f t="shared" si="4"/>
        <v>0</v>
      </c>
      <c r="K15" s="149">
        <f t="shared" si="10"/>
        <v>9.0090090090090076</v>
      </c>
      <c r="L15" s="298">
        <f t="shared" si="11"/>
        <v>0.77513136732630594</v>
      </c>
      <c r="M15" s="298">
        <f t="shared" si="12"/>
        <v>0.4844571045789412</v>
      </c>
      <c r="N15" s="327">
        <f t="shared" si="13"/>
        <v>6.2499999999999991</v>
      </c>
      <c r="O15" s="136">
        <f t="shared" si="5"/>
        <v>0.28000000000000025</v>
      </c>
      <c r="P15" s="134">
        <v>8</v>
      </c>
      <c r="Q15" s="134">
        <f t="shared" si="6"/>
        <v>8.7200000000000006</v>
      </c>
      <c r="R15" s="133">
        <f t="shared" si="7"/>
        <v>0.46788990825688104</v>
      </c>
      <c r="S15" s="143">
        <f t="shared" si="8"/>
        <v>9.1743119266055047</v>
      </c>
      <c r="T15" s="361">
        <v>10</v>
      </c>
      <c r="U15" s="355">
        <f t="shared" si="14"/>
        <v>0.25</v>
      </c>
      <c r="W15" s="335" t="s">
        <v>95</v>
      </c>
      <c r="X15" s="333">
        <f>X14-X13</f>
        <v>592.2450481999997</v>
      </c>
    </row>
    <row r="16" spans="1:36" ht="21.75" thickBot="1">
      <c r="A16" s="144" t="str">
        <f t="shared" si="15"/>
        <v>307-19092025</v>
      </c>
      <c r="B16" s="139" t="s">
        <v>74</v>
      </c>
      <c r="C16" s="138">
        <v>2.7300000000000001E-2</v>
      </c>
      <c r="D16" s="385">
        <f t="shared" si="0"/>
        <v>2.6262600000000003</v>
      </c>
      <c r="E16" s="322">
        <f t="shared" si="9"/>
        <v>33.881482684140003</v>
      </c>
      <c r="F16" s="322">
        <f t="shared" si="1"/>
        <v>16.093704274966502</v>
      </c>
      <c r="G16" s="330">
        <f t="shared" si="2"/>
        <v>30.431870046618691</v>
      </c>
      <c r="H16" s="322">
        <f t="shared" ref="H16:H40" si="17">IF(D16 &gt; 0, G16/D16, 0)</f>
        <v>11.587531336051528</v>
      </c>
      <c r="I16" s="322">
        <f t="shared" si="16"/>
        <v>5.5295857810655864</v>
      </c>
      <c r="J16" s="326">
        <f t="shared" si="4"/>
        <v>0.47720136590800388</v>
      </c>
      <c r="K16" s="149">
        <f t="shared" si="10"/>
        <v>17.117117117117115</v>
      </c>
      <c r="L16" s="298">
        <f t="shared" si="11"/>
        <v>1.4727495979199814</v>
      </c>
      <c r="M16" s="298">
        <f t="shared" si="12"/>
        <v>0.92046849869998837</v>
      </c>
      <c r="N16" s="327">
        <f t="shared" si="13"/>
        <v>11.875</v>
      </c>
      <c r="O16" s="136">
        <f t="shared" si="5"/>
        <v>0.34736842105263155</v>
      </c>
      <c r="P16" s="134">
        <v>16</v>
      </c>
      <c r="Q16" s="134">
        <f t="shared" si="6"/>
        <v>17.440000000000001</v>
      </c>
      <c r="R16" s="133">
        <f t="shared" si="7"/>
        <v>0.46788990825688059</v>
      </c>
      <c r="S16" s="143">
        <f t="shared" si="8"/>
        <v>17.431192660550458</v>
      </c>
      <c r="T16" s="361">
        <v>19</v>
      </c>
      <c r="U16" s="355">
        <f t="shared" si="14"/>
        <v>0.47499999999999998</v>
      </c>
      <c r="W16" s="335" t="s">
        <v>96</v>
      </c>
      <c r="X16" s="334">
        <f>X15/X13</f>
        <v>0.47720136590800388</v>
      </c>
      <c r="AA16" s="333"/>
    </row>
    <row r="17" spans="1:29" ht="21.75" thickBot="1">
      <c r="A17" s="144" t="str">
        <f t="shared" si="15"/>
        <v>307-19092025</v>
      </c>
      <c r="B17" s="139" t="s">
        <v>30</v>
      </c>
      <c r="C17" s="138">
        <v>1.15E-2</v>
      </c>
      <c r="D17" s="385">
        <f t="shared" si="0"/>
        <v>1.1063000000000001</v>
      </c>
      <c r="E17" s="322">
        <f t="shared" si="9"/>
        <v>14.272419445700002</v>
      </c>
      <c r="F17" s="322">
        <f t="shared" si="1"/>
        <v>7.1362097228500012</v>
      </c>
      <c r="G17" s="330">
        <f t="shared" si="2"/>
        <v>13.493985175867168</v>
      </c>
      <c r="H17" s="322">
        <f t="shared" si="17"/>
        <v>12.197401406370034</v>
      </c>
      <c r="I17" s="322">
        <f t="shared" si="16"/>
        <v>5.8206166116479814</v>
      </c>
      <c r="J17" s="326">
        <f t="shared" si="4"/>
        <v>0.47720136590800338</v>
      </c>
      <c r="K17" s="149">
        <f t="shared" si="10"/>
        <v>18.018018018018015</v>
      </c>
      <c r="L17" s="298">
        <f t="shared" si="11"/>
        <v>1.5502627346526119</v>
      </c>
      <c r="M17" s="298">
        <f t="shared" si="12"/>
        <v>0.9689142091578824</v>
      </c>
      <c r="N17" s="327">
        <f t="shared" si="13"/>
        <v>12.499999999999998</v>
      </c>
      <c r="O17" s="136">
        <f t="shared" si="5"/>
        <v>4.0000000000000258E-2</v>
      </c>
      <c r="P17" s="134">
        <v>13</v>
      </c>
      <c r="Q17" s="134">
        <f t="shared" si="6"/>
        <v>14.170000000000002</v>
      </c>
      <c r="R17" s="133">
        <f t="shared" si="7"/>
        <v>0.46788990825688104</v>
      </c>
      <c r="S17" s="143">
        <f t="shared" si="8"/>
        <v>18.348623853211009</v>
      </c>
      <c r="T17" s="361">
        <v>20</v>
      </c>
      <c r="U17" s="355">
        <f t="shared" si="14"/>
        <v>0.5</v>
      </c>
      <c r="W17" s="32"/>
      <c r="X17" s="32"/>
      <c r="AA17" s="333"/>
      <c r="AC17" s="341"/>
    </row>
    <row r="18" spans="1:29" ht="21.75" thickBot="1">
      <c r="A18" s="144" t="str">
        <f t="shared" si="15"/>
        <v>307-19092025</v>
      </c>
      <c r="B18" s="139" t="s">
        <v>75</v>
      </c>
      <c r="C18" s="138">
        <v>0.1198</v>
      </c>
      <c r="D18" s="385">
        <f t="shared" si="0"/>
        <v>11.524760000000001</v>
      </c>
      <c r="E18" s="322">
        <f t="shared" si="9"/>
        <v>148.68137822564</v>
      </c>
      <c r="F18" s="322">
        <f t="shared" si="1"/>
        <v>92.925861391024995</v>
      </c>
      <c r="G18" s="330">
        <f t="shared" si="2"/>
        <v>175.71515479009634</v>
      </c>
      <c r="H18" s="322">
        <f t="shared" si="17"/>
        <v>15.246751757962537</v>
      </c>
      <c r="I18" s="322">
        <f t="shared" si="16"/>
        <v>7.2757707645599847</v>
      </c>
      <c r="J18" s="326">
        <f t="shared" si="4"/>
        <v>0.47720136590800405</v>
      </c>
      <c r="K18" s="149">
        <f t="shared" si="10"/>
        <v>22.522522522522522</v>
      </c>
      <c r="L18" s="298">
        <f t="shared" si="11"/>
        <v>1.937828418315765</v>
      </c>
      <c r="M18" s="298">
        <f t="shared" si="12"/>
        <v>1.2111427614473531</v>
      </c>
      <c r="N18" s="327">
        <f t="shared" si="13"/>
        <v>15.625</v>
      </c>
      <c r="O18" s="136">
        <f t="shared" si="5"/>
        <v>0.31200000000000006</v>
      </c>
      <c r="P18" s="134">
        <v>20.5</v>
      </c>
      <c r="Q18" s="134">
        <f t="shared" si="6"/>
        <v>22.345000000000002</v>
      </c>
      <c r="R18" s="133">
        <f t="shared" si="7"/>
        <v>0.46788990825688059</v>
      </c>
      <c r="S18" s="143">
        <f t="shared" si="8"/>
        <v>22.935779816513758</v>
      </c>
      <c r="T18" s="361">
        <v>25</v>
      </c>
      <c r="U18" s="355">
        <f t="shared" si="14"/>
        <v>0.625</v>
      </c>
    </row>
    <row r="19" spans="1:29" ht="21.75" thickBot="1">
      <c r="A19" s="144" t="str">
        <f t="shared" si="15"/>
        <v>307-19092025</v>
      </c>
      <c r="B19" s="139" t="s">
        <v>76</v>
      </c>
      <c r="C19" s="138">
        <v>5.3699999999999998E-2</v>
      </c>
      <c r="D19" s="385">
        <f t="shared" si="0"/>
        <v>5.16594</v>
      </c>
      <c r="E19" s="322">
        <f t="shared" si="9"/>
        <v>66.645993411660001</v>
      </c>
      <c r="F19" s="322">
        <f t="shared" si="1"/>
        <v>41.653745882287502</v>
      </c>
      <c r="G19" s="330">
        <f t="shared" si="2"/>
        <v>78.763804776529</v>
      </c>
      <c r="H19" s="322">
        <f t="shared" si="17"/>
        <v>15.246751757962539</v>
      </c>
      <c r="I19" s="322">
        <f t="shared" si="16"/>
        <v>7.275770764559983</v>
      </c>
      <c r="J19" s="326">
        <f t="shared" si="4"/>
        <v>0.47720136590800388</v>
      </c>
      <c r="K19" s="149">
        <f t="shared" si="10"/>
        <v>22.522522522522522</v>
      </c>
      <c r="L19" s="298">
        <f t="shared" si="11"/>
        <v>1.937828418315765</v>
      </c>
      <c r="M19" s="298">
        <f t="shared" si="12"/>
        <v>1.2111427614473531</v>
      </c>
      <c r="N19" s="327">
        <f t="shared" si="13"/>
        <v>15.625</v>
      </c>
      <c r="O19" s="136">
        <f t="shared" si="5"/>
        <v>0.31200000000000006</v>
      </c>
      <c r="P19" s="134">
        <v>20.5</v>
      </c>
      <c r="Q19" s="134">
        <f t="shared" si="6"/>
        <v>22.345000000000002</v>
      </c>
      <c r="R19" s="133">
        <f t="shared" si="7"/>
        <v>0.46788990825688059</v>
      </c>
      <c r="S19" s="143">
        <f t="shared" si="8"/>
        <v>22.935779816513758</v>
      </c>
      <c r="T19" s="361">
        <v>25</v>
      </c>
      <c r="U19" s="355">
        <f t="shared" si="14"/>
        <v>0.625</v>
      </c>
    </row>
    <row r="20" spans="1:29" ht="21.75" hidden="1" thickBot="1">
      <c r="A20" s="144" t="str">
        <f t="shared" si="15"/>
        <v>307-19092025</v>
      </c>
      <c r="B20" s="139" t="s">
        <v>27</v>
      </c>
      <c r="C20" s="138">
        <v>0</v>
      </c>
      <c r="D20" s="385">
        <f t="shared" si="0"/>
        <v>0</v>
      </c>
      <c r="E20" s="322">
        <f t="shared" si="9"/>
        <v>0</v>
      </c>
      <c r="F20" s="322">
        <f t="shared" si="1"/>
        <v>0</v>
      </c>
      <c r="G20" s="330">
        <f t="shared" si="2"/>
        <v>0</v>
      </c>
      <c r="H20" s="322">
        <f t="shared" si="17"/>
        <v>0</v>
      </c>
      <c r="I20" s="322">
        <f t="shared" si="16"/>
        <v>22.072072072072071</v>
      </c>
      <c r="J20" s="326">
        <f t="shared" si="4"/>
        <v>0</v>
      </c>
      <c r="K20" s="149">
        <f t="shared" si="10"/>
        <v>22.072072072072071</v>
      </c>
      <c r="L20" s="298">
        <f t="shared" si="11"/>
        <v>1.8990718499494497</v>
      </c>
      <c r="M20" s="298">
        <f t="shared" si="12"/>
        <v>1.1869199062184059</v>
      </c>
      <c r="N20" s="327">
        <f t="shared" si="13"/>
        <v>15.312499999999998</v>
      </c>
      <c r="O20" s="136">
        <f t="shared" si="5"/>
        <v>0.14285714285714302</v>
      </c>
      <c r="P20" s="134">
        <v>17.5</v>
      </c>
      <c r="Q20" s="134">
        <f t="shared" si="6"/>
        <v>19.075000000000003</v>
      </c>
      <c r="R20" s="133">
        <f t="shared" si="7"/>
        <v>0.46788990825688082</v>
      </c>
      <c r="S20" s="143">
        <f t="shared" si="8"/>
        <v>22.477064220183486</v>
      </c>
      <c r="T20" s="361">
        <v>24.5</v>
      </c>
      <c r="U20" s="355">
        <f t="shared" si="14"/>
        <v>0.61250000000000004</v>
      </c>
      <c r="AA20" s="333"/>
    </row>
    <row r="21" spans="1:29" ht="21.75" hidden="1" thickBot="1">
      <c r="A21" s="144" t="str">
        <f t="shared" si="15"/>
        <v>307-19092025</v>
      </c>
      <c r="B21" s="139" t="s">
        <v>26</v>
      </c>
      <c r="C21" s="138">
        <v>0</v>
      </c>
      <c r="D21" s="385">
        <f t="shared" si="0"/>
        <v>0</v>
      </c>
      <c r="E21" s="322">
        <f t="shared" si="9"/>
        <v>0</v>
      </c>
      <c r="F21" s="322">
        <f t="shared" si="1"/>
        <v>0</v>
      </c>
      <c r="G21" s="330">
        <f t="shared" si="2"/>
        <v>0</v>
      </c>
      <c r="H21" s="322">
        <f t="shared" si="17"/>
        <v>0</v>
      </c>
      <c r="I21" s="322">
        <f t="shared" si="16"/>
        <v>19.819819819819816</v>
      </c>
      <c r="J21" s="326">
        <f t="shared" si="4"/>
        <v>0</v>
      </c>
      <c r="K21" s="149">
        <f t="shared" si="10"/>
        <v>19.819819819819816</v>
      </c>
      <c r="L21" s="298">
        <f t="shared" si="11"/>
        <v>1.7052890081178731</v>
      </c>
      <c r="M21" s="298">
        <f t="shared" si="12"/>
        <v>1.0658056300736707</v>
      </c>
      <c r="N21" s="327">
        <f t="shared" si="13"/>
        <v>13.75</v>
      </c>
      <c r="O21" s="136">
        <f t="shared" si="5"/>
        <v>9.0909090909090828E-2</v>
      </c>
      <c r="P21" s="134">
        <v>15</v>
      </c>
      <c r="Q21" s="134">
        <f t="shared" si="6"/>
        <v>16.350000000000001</v>
      </c>
      <c r="R21" s="133">
        <f t="shared" si="7"/>
        <v>0.46788990825688059</v>
      </c>
      <c r="S21" s="143">
        <f t="shared" si="8"/>
        <v>20.183486238532108</v>
      </c>
      <c r="T21" s="361">
        <v>22</v>
      </c>
      <c r="U21" s="355">
        <f t="shared" si="14"/>
        <v>0.55000000000000004</v>
      </c>
    </row>
    <row r="22" spans="1:29" ht="21.75" thickBot="1">
      <c r="A22" s="144" t="str">
        <f t="shared" si="15"/>
        <v>307-19092025</v>
      </c>
      <c r="B22" s="139" t="s">
        <v>77</v>
      </c>
      <c r="C22" s="138">
        <v>7.0499999999999993E-2</v>
      </c>
      <c r="D22" s="385">
        <f t="shared" si="0"/>
        <v>6.7820999999999998</v>
      </c>
      <c r="E22" s="322">
        <f t="shared" si="9"/>
        <v>87.496136601900005</v>
      </c>
      <c r="F22" s="322">
        <f t="shared" si="1"/>
        <v>72.184312696567503</v>
      </c>
      <c r="G22" s="330">
        <f t="shared" si="2"/>
        <v>136.49459352893462</v>
      </c>
      <c r="H22" s="322">
        <f t="shared" si="17"/>
        <v>20.125712320510551</v>
      </c>
      <c r="I22" s="322">
        <f t="shared" si="16"/>
        <v>9.6040174092191748</v>
      </c>
      <c r="J22" s="326">
        <f t="shared" si="4"/>
        <v>0.47720136590800372</v>
      </c>
      <c r="K22" s="149">
        <f t="shared" si="10"/>
        <v>29.729729729729726</v>
      </c>
      <c r="L22" s="298">
        <f t="shared" si="11"/>
        <v>2.5579335121768096</v>
      </c>
      <c r="M22" s="298">
        <f t="shared" si="12"/>
        <v>1.598708445110506</v>
      </c>
      <c r="N22" s="327">
        <f t="shared" si="13"/>
        <v>20.625</v>
      </c>
      <c r="O22" s="136">
        <f t="shared" si="5"/>
        <v>0.35757575757575766</v>
      </c>
      <c r="P22" s="134">
        <v>28</v>
      </c>
      <c r="Q22" s="134">
        <f t="shared" si="6"/>
        <v>30.520000000000003</v>
      </c>
      <c r="R22" s="133">
        <f t="shared" si="7"/>
        <v>0.46788990825688059</v>
      </c>
      <c r="S22" s="143">
        <f t="shared" si="8"/>
        <v>30.275229357798164</v>
      </c>
      <c r="T22" s="361">
        <v>33</v>
      </c>
      <c r="U22" s="355">
        <f t="shared" si="14"/>
        <v>0.82499999999999996</v>
      </c>
    </row>
    <row r="23" spans="1:29" ht="21.75" thickBot="1">
      <c r="A23" s="144" t="str">
        <f t="shared" si="15"/>
        <v>307-19092025</v>
      </c>
      <c r="B23" s="139" t="s">
        <v>78</v>
      </c>
      <c r="C23" s="138">
        <v>7.22E-2</v>
      </c>
      <c r="D23" s="385">
        <f t="shared" si="0"/>
        <v>6.94564</v>
      </c>
      <c r="E23" s="322">
        <f t="shared" si="9"/>
        <v>89.605972519960005</v>
      </c>
      <c r="F23" s="322">
        <f t="shared" si="1"/>
        <v>73.924927328967001</v>
      </c>
      <c r="G23" s="330">
        <f t="shared" si="2"/>
        <v>139.78595252183089</v>
      </c>
      <c r="H23" s="322">
        <f t="shared" si="17"/>
        <v>20.125712320510548</v>
      </c>
      <c r="I23" s="322">
        <f t="shared" si="16"/>
        <v>9.6040174092191783</v>
      </c>
      <c r="J23" s="326">
        <f t="shared" si="4"/>
        <v>0.47720136590800399</v>
      </c>
      <c r="K23" s="149">
        <f t="shared" si="10"/>
        <v>29.729729729729726</v>
      </c>
      <c r="L23" s="298">
        <f t="shared" si="11"/>
        <v>2.5579335121768096</v>
      </c>
      <c r="M23" s="298">
        <f t="shared" si="12"/>
        <v>1.598708445110506</v>
      </c>
      <c r="N23" s="327">
        <f t="shared" si="13"/>
        <v>20.625</v>
      </c>
      <c r="O23" s="136">
        <f t="shared" si="5"/>
        <v>0.35757575757575766</v>
      </c>
      <c r="P23" s="134">
        <v>28</v>
      </c>
      <c r="Q23" s="134">
        <f t="shared" si="6"/>
        <v>30.520000000000003</v>
      </c>
      <c r="R23" s="133">
        <f t="shared" si="7"/>
        <v>0.46788990825688059</v>
      </c>
      <c r="S23" s="143">
        <f t="shared" si="8"/>
        <v>30.275229357798164</v>
      </c>
      <c r="T23" s="361">
        <v>33</v>
      </c>
      <c r="U23" s="355">
        <f t="shared" si="14"/>
        <v>0.82499999999999996</v>
      </c>
    </row>
    <row r="24" spans="1:29" ht="21.75" hidden="1" thickBot="1">
      <c r="A24" s="144" t="str">
        <f t="shared" si="15"/>
        <v>307-19092025</v>
      </c>
      <c r="B24" s="139" t="s">
        <v>23</v>
      </c>
      <c r="C24" s="138">
        <v>0</v>
      </c>
      <c r="D24" s="385">
        <f t="shared" si="0"/>
        <v>0</v>
      </c>
      <c r="E24" s="322">
        <f t="shared" si="9"/>
        <v>0</v>
      </c>
      <c r="F24" s="322">
        <f t="shared" si="1"/>
        <v>0</v>
      </c>
      <c r="G24" s="330">
        <f t="shared" si="2"/>
        <v>0</v>
      </c>
      <c r="H24" s="322">
        <f t="shared" si="17"/>
        <v>0</v>
      </c>
      <c r="I24" s="322">
        <f t="shared" si="16"/>
        <v>22.972972972972972</v>
      </c>
      <c r="J24" s="326">
        <f t="shared" si="4"/>
        <v>0</v>
      </c>
      <c r="K24" s="149">
        <f t="shared" si="10"/>
        <v>22.972972972972972</v>
      </c>
      <c r="L24" s="298">
        <f t="shared" si="11"/>
        <v>1.9765849866820804</v>
      </c>
      <c r="M24" s="298">
        <f t="shared" si="12"/>
        <v>1.2353656166763001</v>
      </c>
      <c r="N24" s="327">
        <f t="shared" si="13"/>
        <v>15.937499999999998</v>
      </c>
      <c r="O24" s="136">
        <f t="shared" si="5"/>
        <v>6.0392156862745017E-2</v>
      </c>
      <c r="P24" s="134">
        <v>16.899999999999999</v>
      </c>
      <c r="Q24" s="134">
        <f t="shared" si="6"/>
        <v>18.420999999999999</v>
      </c>
      <c r="R24" s="133">
        <f t="shared" si="7"/>
        <v>0.46788990825688082</v>
      </c>
      <c r="S24" s="143">
        <f t="shared" si="8"/>
        <v>23.394495412844034</v>
      </c>
      <c r="T24" s="361">
        <v>25.5</v>
      </c>
      <c r="U24" s="355">
        <f t="shared" si="14"/>
        <v>0.63749999999999996</v>
      </c>
    </row>
    <row r="25" spans="1:29" ht="21.75" thickBot="1">
      <c r="A25" s="144" t="str">
        <f t="shared" si="15"/>
        <v>307-19092025</v>
      </c>
      <c r="B25" s="139" t="s">
        <v>79</v>
      </c>
      <c r="C25" s="138">
        <v>0.1797</v>
      </c>
      <c r="D25" s="385">
        <f t="shared" si="0"/>
        <v>17.287140000000001</v>
      </c>
      <c r="E25" s="322">
        <f t="shared" si="9"/>
        <v>223.02206733846003</v>
      </c>
      <c r="F25" s="322">
        <f t="shared" si="1"/>
        <v>136.60101624480677</v>
      </c>
      <c r="G25" s="330">
        <f t="shared" si="2"/>
        <v>258.30127754144166</v>
      </c>
      <c r="H25" s="322">
        <f t="shared" si="17"/>
        <v>14.941816722803289</v>
      </c>
      <c r="I25" s="322">
        <f t="shared" si="16"/>
        <v>7.1302553492687828</v>
      </c>
      <c r="J25" s="326">
        <f t="shared" si="4"/>
        <v>0.47720136590800383</v>
      </c>
      <c r="K25" s="149">
        <f t="shared" si="10"/>
        <v>22.072072072072071</v>
      </c>
      <c r="L25" s="298">
        <f t="shared" si="11"/>
        <v>1.8990718499494497</v>
      </c>
      <c r="M25" s="298">
        <f t="shared" si="12"/>
        <v>1.1869199062184059</v>
      </c>
      <c r="N25" s="327">
        <f t="shared" si="13"/>
        <v>15.312499999999998</v>
      </c>
      <c r="O25" s="136">
        <f t="shared" si="5"/>
        <v>0.30612244897959195</v>
      </c>
      <c r="P25" s="134">
        <v>20</v>
      </c>
      <c r="Q25" s="134">
        <f t="shared" si="6"/>
        <v>21.8</v>
      </c>
      <c r="R25" s="133">
        <f t="shared" si="7"/>
        <v>0.46788990825688082</v>
      </c>
      <c r="S25" s="143">
        <f t="shared" si="8"/>
        <v>22.477064220183486</v>
      </c>
      <c r="T25" s="361">
        <v>24.5</v>
      </c>
      <c r="U25" s="355">
        <f t="shared" si="14"/>
        <v>0.61250000000000004</v>
      </c>
    </row>
    <row r="26" spans="1:29" ht="21.75" hidden="1" thickBot="1">
      <c r="A26" s="144" t="str">
        <f t="shared" si="15"/>
        <v>307-19092025</v>
      </c>
      <c r="B26" s="139" t="s">
        <v>21</v>
      </c>
      <c r="C26" s="138">
        <v>0</v>
      </c>
      <c r="D26" s="385">
        <f t="shared" si="0"/>
        <v>0</v>
      </c>
      <c r="E26" s="322">
        <f t="shared" si="9"/>
        <v>0</v>
      </c>
      <c r="F26" s="322">
        <f t="shared" si="1"/>
        <v>0</v>
      </c>
      <c r="G26" s="330">
        <f t="shared" si="2"/>
        <v>0</v>
      </c>
      <c r="H26" s="322">
        <f t="shared" si="17"/>
        <v>0</v>
      </c>
      <c r="I26" s="322">
        <f t="shared" si="16"/>
        <v>23.423423423423422</v>
      </c>
      <c r="J26" s="326">
        <f t="shared" si="4"/>
        <v>0</v>
      </c>
      <c r="K26" s="149">
        <f t="shared" si="10"/>
        <v>23.423423423423422</v>
      </c>
      <c r="L26" s="298">
        <f t="shared" si="11"/>
        <v>2.0153415550483955</v>
      </c>
      <c r="M26" s="298">
        <f t="shared" si="12"/>
        <v>1.259588471905247</v>
      </c>
      <c r="N26" s="327">
        <f t="shared" si="13"/>
        <v>16.249999999999996</v>
      </c>
      <c r="O26" s="136">
        <f t="shared" si="5"/>
        <v>0.2923076923076926</v>
      </c>
      <c r="P26" s="134">
        <v>21</v>
      </c>
      <c r="Q26" s="134">
        <f t="shared" si="6"/>
        <v>22.89</v>
      </c>
      <c r="R26" s="133">
        <f t="shared" si="7"/>
        <v>0.46788990825688082</v>
      </c>
      <c r="S26" s="143">
        <f t="shared" si="8"/>
        <v>23.853211009174309</v>
      </c>
      <c r="T26" s="361">
        <v>26</v>
      </c>
      <c r="U26" s="355">
        <f t="shared" si="14"/>
        <v>0.65</v>
      </c>
    </row>
    <row r="27" spans="1:29" ht="21.75" hidden="1" thickBot="1">
      <c r="A27" s="144" t="str">
        <f t="shared" si="15"/>
        <v>307-19092025</v>
      </c>
      <c r="B27" s="139" t="s">
        <v>20</v>
      </c>
      <c r="C27" s="138">
        <v>0</v>
      </c>
      <c r="D27" s="385">
        <f t="shared" si="0"/>
        <v>0</v>
      </c>
      <c r="E27" s="322">
        <f t="shared" si="9"/>
        <v>0</v>
      </c>
      <c r="F27" s="322">
        <f t="shared" si="1"/>
        <v>0</v>
      </c>
      <c r="G27" s="330">
        <f t="shared" si="2"/>
        <v>0</v>
      </c>
      <c r="H27" s="322">
        <f t="shared" si="17"/>
        <v>0</v>
      </c>
      <c r="I27" s="322">
        <f t="shared" si="16"/>
        <v>24.774774774774773</v>
      </c>
      <c r="J27" s="326">
        <f t="shared" si="4"/>
        <v>0</v>
      </c>
      <c r="K27" s="149">
        <f t="shared" si="10"/>
        <v>24.774774774774773</v>
      </c>
      <c r="L27" s="298">
        <f t="shared" si="11"/>
        <v>2.1316112601473414</v>
      </c>
      <c r="M27" s="298">
        <f t="shared" si="12"/>
        <v>1.3322570375920884</v>
      </c>
      <c r="N27" s="327">
        <f t="shared" si="13"/>
        <v>17.1875</v>
      </c>
      <c r="O27" s="136">
        <f t="shared" si="5"/>
        <v>0.25090909090909097</v>
      </c>
      <c r="P27" s="134">
        <v>21.5</v>
      </c>
      <c r="Q27" s="134">
        <f t="shared" si="6"/>
        <v>23.435000000000002</v>
      </c>
      <c r="R27" s="133">
        <f t="shared" si="7"/>
        <v>0.46788990825688059</v>
      </c>
      <c r="S27" s="143">
        <f t="shared" si="8"/>
        <v>25.229357798165136</v>
      </c>
      <c r="T27" s="361">
        <v>27.5</v>
      </c>
      <c r="U27" s="355">
        <f t="shared" si="14"/>
        <v>0.6875</v>
      </c>
    </row>
    <row r="28" spans="1:29" ht="21.75" thickBot="1">
      <c r="A28" s="144" t="str">
        <f t="shared" si="15"/>
        <v>307-19092025</v>
      </c>
      <c r="B28" s="139" t="s">
        <v>80</v>
      </c>
      <c r="C28" s="138">
        <v>0.2326</v>
      </c>
      <c r="D28" s="385">
        <f t="shared" si="0"/>
        <v>22.37612</v>
      </c>
      <c r="E28" s="322">
        <f t="shared" si="9"/>
        <v>288.67519678868001</v>
      </c>
      <c r="F28" s="322">
        <f t="shared" si="1"/>
        <v>151.55447831405701</v>
      </c>
      <c r="G28" s="330">
        <f t="shared" si="2"/>
        <v>286.57704343495982</v>
      </c>
      <c r="H28" s="322">
        <f t="shared" si="17"/>
        <v>12.807271476688532</v>
      </c>
      <c r="I28" s="322">
        <f t="shared" si="16"/>
        <v>6.1116474422303835</v>
      </c>
      <c r="J28" s="326">
        <f t="shared" si="4"/>
        <v>0.47720136590800372</v>
      </c>
      <c r="K28" s="149">
        <f t="shared" si="10"/>
        <v>18.918918918918916</v>
      </c>
      <c r="L28" s="298">
        <f t="shared" si="11"/>
        <v>1.6277758713852426</v>
      </c>
      <c r="M28" s="298">
        <f t="shared" si="12"/>
        <v>1.0173599196157765</v>
      </c>
      <c r="N28" s="327">
        <f t="shared" si="13"/>
        <v>13.124999999999998</v>
      </c>
      <c r="O28" s="136">
        <f t="shared" si="5"/>
        <v>0.37142857142857166</v>
      </c>
      <c r="P28" s="134">
        <v>18</v>
      </c>
      <c r="Q28" s="134">
        <f t="shared" si="6"/>
        <v>19.62</v>
      </c>
      <c r="R28" s="133">
        <f t="shared" si="7"/>
        <v>0.46788990825688082</v>
      </c>
      <c r="S28" s="143">
        <f t="shared" si="8"/>
        <v>19.266055045871557</v>
      </c>
      <c r="T28" s="361">
        <v>21</v>
      </c>
      <c r="U28" s="355">
        <f t="shared" si="14"/>
        <v>0.52500000000000002</v>
      </c>
    </row>
    <row r="29" spans="1:29" ht="21.75" hidden="1" thickBot="1">
      <c r="A29" s="144" t="str">
        <f t="shared" si="15"/>
        <v>307-19092025</v>
      </c>
      <c r="B29" s="139" t="s">
        <v>18</v>
      </c>
      <c r="C29" s="138">
        <v>0</v>
      </c>
      <c r="D29" s="385">
        <f t="shared" si="0"/>
        <v>0</v>
      </c>
      <c r="E29" s="322">
        <f t="shared" si="9"/>
        <v>0</v>
      </c>
      <c r="F29" s="322">
        <f t="shared" si="1"/>
        <v>0</v>
      </c>
      <c r="G29" s="330">
        <f t="shared" si="2"/>
        <v>0</v>
      </c>
      <c r="H29" s="322">
        <f t="shared" si="17"/>
        <v>0</v>
      </c>
      <c r="I29" s="322">
        <f t="shared" si="16"/>
        <v>22.072072072072071</v>
      </c>
      <c r="J29" s="326">
        <f t="shared" si="4"/>
        <v>0</v>
      </c>
      <c r="K29" s="149">
        <f t="shared" si="10"/>
        <v>22.072072072072071</v>
      </c>
      <c r="L29" s="298">
        <f t="shared" si="11"/>
        <v>1.8990718499494497</v>
      </c>
      <c r="M29" s="298">
        <f t="shared" si="12"/>
        <v>1.1869199062184059</v>
      </c>
      <c r="N29" s="327">
        <f t="shared" si="13"/>
        <v>15.312499999999998</v>
      </c>
      <c r="O29" s="136">
        <f t="shared" si="5"/>
        <v>0.17551020408163276</v>
      </c>
      <c r="P29" s="134">
        <v>18</v>
      </c>
      <c r="Q29" s="134">
        <f t="shared" si="6"/>
        <v>19.62</v>
      </c>
      <c r="R29" s="133">
        <f t="shared" si="7"/>
        <v>0.46788990825688082</v>
      </c>
      <c r="S29" s="143">
        <f t="shared" si="8"/>
        <v>22.477064220183486</v>
      </c>
      <c r="T29" s="361">
        <v>24.5</v>
      </c>
      <c r="U29" s="355">
        <f t="shared" si="14"/>
        <v>0.61250000000000004</v>
      </c>
    </row>
    <row r="30" spans="1:29" ht="21.75" thickBot="1">
      <c r="A30" s="144" t="str">
        <f t="shared" si="15"/>
        <v>307-19092025</v>
      </c>
      <c r="B30" s="146" t="s">
        <v>81</v>
      </c>
      <c r="C30" s="138">
        <v>4.58E-2</v>
      </c>
      <c r="D30" s="385">
        <f t="shared" si="0"/>
        <v>4.4059600000000003</v>
      </c>
      <c r="E30" s="322">
        <f t="shared" si="9"/>
        <v>56.841461792440008</v>
      </c>
      <c r="F30" s="322">
        <f t="shared" si="1"/>
        <v>11.368292358488002</v>
      </c>
      <c r="G30" s="330">
        <f t="shared" si="2"/>
        <v>21.496505080164045</v>
      </c>
      <c r="H30" s="322">
        <f t="shared" si="17"/>
        <v>4.8789605625480128</v>
      </c>
      <c r="I30" s="322">
        <f t="shared" si="16"/>
        <v>2.3282466446591936</v>
      </c>
      <c r="J30" s="326">
        <f t="shared" si="4"/>
        <v>0.47720136590800366</v>
      </c>
      <c r="K30" s="149">
        <f t="shared" si="10"/>
        <v>7.2072072072072064</v>
      </c>
      <c r="L30" s="298">
        <f t="shared" si="11"/>
        <v>0.62010509386104484</v>
      </c>
      <c r="M30" s="298">
        <f t="shared" si="12"/>
        <v>0.38756568366315303</v>
      </c>
      <c r="N30" s="327">
        <f>M30*$N$10</f>
        <v>5</v>
      </c>
      <c r="O30" s="136">
        <f t="shared" si="5"/>
        <v>0.35999999999999988</v>
      </c>
      <c r="P30" s="134">
        <v>6.8</v>
      </c>
      <c r="Q30" s="134">
        <f t="shared" si="6"/>
        <v>7.4119999999999999</v>
      </c>
      <c r="R30" s="133">
        <f t="shared" si="7"/>
        <v>0.46788990825688059</v>
      </c>
      <c r="S30" s="143">
        <f t="shared" si="8"/>
        <v>7.3394495412844032</v>
      </c>
      <c r="T30" s="361">
        <v>8</v>
      </c>
      <c r="U30" s="355">
        <f t="shared" si="14"/>
        <v>0.2</v>
      </c>
    </row>
    <row r="31" spans="1:29" ht="21.75" thickBot="1">
      <c r="A31" s="144" t="str">
        <f t="shared" si="15"/>
        <v>307-19092025</v>
      </c>
      <c r="B31" s="146" t="s">
        <v>82</v>
      </c>
      <c r="C31" s="138">
        <v>3.61E-2</v>
      </c>
      <c r="D31" s="385">
        <f t="shared" si="0"/>
        <v>3.47282</v>
      </c>
      <c r="E31" s="322">
        <f t="shared" si="9"/>
        <v>44.802986259980003</v>
      </c>
      <c r="F31" s="322">
        <f t="shared" si="1"/>
        <v>13.440895877994</v>
      </c>
      <c r="G31" s="330">
        <f t="shared" si="2"/>
        <v>25.415627731241983</v>
      </c>
      <c r="H31" s="322">
        <f t="shared" si="17"/>
        <v>7.3184408438220183</v>
      </c>
      <c r="I31" s="322">
        <f t="shared" si="16"/>
        <v>3.4923699669887922</v>
      </c>
      <c r="J31" s="326">
        <f t="shared" si="4"/>
        <v>0.47720136590800394</v>
      </c>
      <c r="K31" s="149">
        <f t="shared" si="10"/>
        <v>10.810810810810811</v>
      </c>
      <c r="L31" s="298">
        <f t="shared" si="11"/>
        <v>0.93015764079156715</v>
      </c>
      <c r="M31" s="298">
        <f t="shared" si="12"/>
        <v>0.58134852549472948</v>
      </c>
      <c r="N31" s="327">
        <f t="shared" si="13"/>
        <v>7.5</v>
      </c>
      <c r="O31" s="136">
        <f t="shared" si="5"/>
        <v>0.33333333333333326</v>
      </c>
      <c r="P31" s="134">
        <v>10</v>
      </c>
      <c r="Q31" s="134">
        <f t="shared" si="6"/>
        <v>10.9</v>
      </c>
      <c r="R31" s="133">
        <f t="shared" si="7"/>
        <v>0.46788990825688059</v>
      </c>
      <c r="S31" s="143">
        <f t="shared" si="8"/>
        <v>11.009174311926605</v>
      </c>
      <c r="T31" s="361">
        <v>12</v>
      </c>
      <c r="U31" s="355">
        <f t="shared" si="14"/>
        <v>0.3</v>
      </c>
    </row>
    <row r="32" spans="1:29" ht="21.75" hidden="1" thickBot="1">
      <c r="A32" s="144" t="str">
        <f t="shared" si="15"/>
        <v>307-19092025</v>
      </c>
      <c r="B32" s="146" t="s">
        <v>15</v>
      </c>
      <c r="C32" s="138">
        <v>0</v>
      </c>
      <c r="D32" s="385">
        <f t="shared" si="0"/>
        <v>0</v>
      </c>
      <c r="E32" s="322">
        <f t="shared" si="9"/>
        <v>0</v>
      </c>
      <c r="F32" s="322">
        <f t="shared" si="1"/>
        <v>0</v>
      </c>
      <c r="G32" s="330">
        <f t="shared" si="2"/>
        <v>0</v>
      </c>
      <c r="H32" s="322">
        <f t="shared" si="17"/>
        <v>0</v>
      </c>
      <c r="I32" s="322">
        <f t="shared" si="16"/>
        <v>13.513513513513512</v>
      </c>
      <c r="J32" s="326">
        <f t="shared" si="4"/>
        <v>0</v>
      </c>
      <c r="K32" s="149">
        <f t="shared" si="10"/>
        <v>13.513513513513512</v>
      </c>
      <c r="L32" s="298">
        <f t="shared" si="11"/>
        <v>1.162697050989459</v>
      </c>
      <c r="M32" s="298">
        <f t="shared" si="12"/>
        <v>0.7266856568684118</v>
      </c>
      <c r="N32" s="327">
        <f t="shared" si="13"/>
        <v>9.3749999999999982</v>
      </c>
      <c r="O32" s="136">
        <f t="shared" si="5"/>
        <v>0.28000000000000025</v>
      </c>
      <c r="P32" s="134">
        <v>12</v>
      </c>
      <c r="Q32" s="134">
        <f t="shared" si="6"/>
        <v>13.080000000000002</v>
      </c>
      <c r="R32" s="133">
        <f t="shared" si="7"/>
        <v>0.46788990825688082</v>
      </c>
      <c r="S32" s="143">
        <f t="shared" si="8"/>
        <v>13.761467889908255</v>
      </c>
      <c r="T32" s="361">
        <v>15</v>
      </c>
      <c r="U32" s="355">
        <f t="shared" si="14"/>
        <v>0.375</v>
      </c>
    </row>
    <row r="33" spans="1:21" ht="21.75" thickBot="1">
      <c r="A33" s="144" t="str">
        <f t="shared" si="15"/>
        <v>307-19092025</v>
      </c>
      <c r="B33" s="146" t="s">
        <v>83</v>
      </c>
      <c r="C33" s="138">
        <v>3.5200000000000002E-2</v>
      </c>
      <c r="D33" s="385">
        <f t="shared" si="0"/>
        <v>3.3862400000000004</v>
      </c>
      <c r="E33" s="322">
        <f t="shared" si="9"/>
        <v>43.686014303360004</v>
      </c>
      <c r="F33" s="322">
        <f t="shared" si="1"/>
        <v>13.105804291008001</v>
      </c>
      <c r="G33" s="330">
        <f t="shared" si="2"/>
        <v>24.781997122983874</v>
      </c>
      <c r="H33" s="322">
        <f t="shared" si="17"/>
        <v>7.3184408438220183</v>
      </c>
      <c r="I33" s="322">
        <f t="shared" si="16"/>
        <v>3.4923699669887922</v>
      </c>
      <c r="J33" s="326">
        <f t="shared" si="4"/>
        <v>0.47720136590800394</v>
      </c>
      <c r="K33" s="149">
        <f t="shared" si="10"/>
        <v>10.810810810810811</v>
      </c>
      <c r="L33" s="298">
        <f t="shared" si="11"/>
        <v>0.93015764079156715</v>
      </c>
      <c r="M33" s="298">
        <f t="shared" si="12"/>
        <v>0.58134852549472948</v>
      </c>
      <c r="N33" s="327">
        <f t="shared" si="13"/>
        <v>7.5</v>
      </c>
      <c r="O33" s="136">
        <f t="shared" si="5"/>
        <v>0.46666666666666656</v>
      </c>
      <c r="P33" s="134">
        <v>11</v>
      </c>
      <c r="Q33" s="134">
        <f t="shared" si="6"/>
        <v>11.99</v>
      </c>
      <c r="R33" s="133">
        <f t="shared" si="7"/>
        <v>0.46788990825688059</v>
      </c>
      <c r="S33" s="143">
        <f t="shared" si="8"/>
        <v>11.009174311926605</v>
      </c>
      <c r="T33" s="361">
        <v>12</v>
      </c>
      <c r="U33" s="355">
        <f t="shared" si="14"/>
        <v>0.3</v>
      </c>
    </row>
    <row r="34" spans="1:21" ht="21.75" thickBot="1">
      <c r="A34" s="144" t="str">
        <f t="shared" si="15"/>
        <v>307-19092025</v>
      </c>
      <c r="B34" s="146" t="s">
        <v>13</v>
      </c>
      <c r="C34" s="138">
        <v>8.8000000000000005E-3</v>
      </c>
      <c r="D34" s="385">
        <f t="shared" si="0"/>
        <v>0.84656000000000009</v>
      </c>
      <c r="E34" s="322">
        <f t="shared" si="9"/>
        <v>10.921503575840001</v>
      </c>
      <c r="F34" s="322">
        <f t="shared" si="1"/>
        <v>3.2764510727520002</v>
      </c>
      <c r="G34" s="330">
        <f t="shared" si="2"/>
        <v>6.1954992807459686</v>
      </c>
      <c r="H34" s="322">
        <f t="shared" si="17"/>
        <v>7.3184408438220183</v>
      </c>
      <c r="I34" s="322">
        <f t="shared" si="16"/>
        <v>3.4923699669887922</v>
      </c>
      <c r="J34" s="326">
        <f t="shared" si="4"/>
        <v>0.47720136590800394</v>
      </c>
      <c r="K34" s="149">
        <f t="shared" si="10"/>
        <v>10.810810810810811</v>
      </c>
      <c r="L34" s="298">
        <f t="shared" si="11"/>
        <v>0.93015764079156715</v>
      </c>
      <c r="M34" s="298">
        <f t="shared" si="12"/>
        <v>0.58134852549472948</v>
      </c>
      <c r="N34" s="327">
        <f t="shared" si="13"/>
        <v>7.5</v>
      </c>
      <c r="O34" s="136">
        <f t="shared" si="5"/>
        <v>0.46666666666666656</v>
      </c>
      <c r="P34" s="134">
        <v>11</v>
      </c>
      <c r="Q34" s="134">
        <f t="shared" si="6"/>
        <v>11.99</v>
      </c>
      <c r="R34" s="133">
        <f t="shared" si="7"/>
        <v>0.46788990825688059</v>
      </c>
      <c r="S34" s="143">
        <f t="shared" si="8"/>
        <v>11.009174311926605</v>
      </c>
      <c r="T34" s="361">
        <v>12</v>
      </c>
      <c r="U34" s="355">
        <f t="shared" si="14"/>
        <v>0.3</v>
      </c>
    </row>
    <row r="35" spans="1:21" ht="21.75" thickBot="1">
      <c r="A35" s="144" t="str">
        <f t="shared" si="15"/>
        <v>307-19092025</v>
      </c>
      <c r="B35" s="139" t="s">
        <v>84</v>
      </c>
      <c r="C35" s="138">
        <v>1.06E-2</v>
      </c>
      <c r="D35" s="385">
        <f t="shared" si="0"/>
        <v>1.01972</v>
      </c>
      <c r="E35" s="322">
        <f t="shared" si="9"/>
        <v>13.15544748908</v>
      </c>
      <c r="F35" s="322">
        <f t="shared" si="1"/>
        <v>13.15544748908</v>
      </c>
      <c r="G35" s="330">
        <f t="shared" si="2"/>
        <v>24.875868324207296</v>
      </c>
      <c r="H35" s="322">
        <f t="shared" si="17"/>
        <v>24.394802812740064</v>
      </c>
      <c r="I35" s="322">
        <f t="shared" si="16"/>
        <v>11.641233223295966</v>
      </c>
      <c r="J35" s="326">
        <f t="shared" si="4"/>
        <v>0.47720136590800361</v>
      </c>
      <c r="K35" s="149">
        <f t="shared" si="10"/>
        <v>36.03603603603603</v>
      </c>
      <c r="L35" s="298">
        <f t="shared" si="11"/>
        <v>3.1005254693052238</v>
      </c>
      <c r="M35" s="298">
        <f t="shared" si="12"/>
        <v>1.9378284183157648</v>
      </c>
      <c r="N35" s="327">
        <f t="shared" si="13"/>
        <v>24.999999999999996</v>
      </c>
      <c r="O35" s="136">
        <f t="shared" si="5"/>
        <v>0.20000000000000018</v>
      </c>
      <c r="P35" s="134">
        <v>30</v>
      </c>
      <c r="Q35" s="134">
        <f t="shared" si="6"/>
        <v>32.700000000000003</v>
      </c>
      <c r="R35" s="133">
        <f t="shared" si="7"/>
        <v>0.46788990825688104</v>
      </c>
      <c r="S35" s="143">
        <f t="shared" si="8"/>
        <v>36.697247706422019</v>
      </c>
      <c r="T35" s="361">
        <v>40</v>
      </c>
      <c r="U35" s="355">
        <f t="shared" si="14"/>
        <v>1</v>
      </c>
    </row>
    <row r="36" spans="1:21" ht="21.75" hidden="1" thickBot="1">
      <c r="A36" s="144" t="str">
        <f t="shared" si="15"/>
        <v>307-19092025</v>
      </c>
      <c r="B36" s="139" t="s">
        <v>11</v>
      </c>
      <c r="C36" s="138">
        <v>0</v>
      </c>
      <c r="D36" s="385">
        <f t="shared" si="0"/>
        <v>0</v>
      </c>
      <c r="E36" s="322">
        <f t="shared" si="9"/>
        <v>0</v>
      </c>
      <c r="F36" s="322">
        <f t="shared" si="1"/>
        <v>0</v>
      </c>
      <c r="G36" s="330">
        <f t="shared" si="2"/>
        <v>0</v>
      </c>
      <c r="H36" s="322">
        <f t="shared" si="17"/>
        <v>0</v>
      </c>
      <c r="I36" s="322">
        <f t="shared" si="16"/>
        <v>23.423423423423422</v>
      </c>
      <c r="J36" s="326">
        <f t="shared" si="4"/>
        <v>0</v>
      </c>
      <c r="K36" s="149">
        <f t="shared" si="10"/>
        <v>23.423423423423422</v>
      </c>
      <c r="L36" s="298">
        <f t="shared" si="11"/>
        <v>2.0153415550483955</v>
      </c>
      <c r="M36" s="298">
        <f t="shared" si="12"/>
        <v>1.259588471905247</v>
      </c>
      <c r="N36" s="327">
        <f t="shared" si="13"/>
        <v>16.249999999999996</v>
      </c>
      <c r="O36" s="136">
        <f t="shared" si="5"/>
        <v>0.16923076923076952</v>
      </c>
      <c r="P36" s="134">
        <v>19</v>
      </c>
      <c r="Q36" s="134">
        <f t="shared" si="6"/>
        <v>20.71</v>
      </c>
      <c r="R36" s="133">
        <f t="shared" si="7"/>
        <v>0.46788990825688082</v>
      </c>
      <c r="S36" s="143">
        <f t="shared" si="8"/>
        <v>23.853211009174309</v>
      </c>
      <c r="T36" s="361">
        <v>26</v>
      </c>
      <c r="U36" s="355">
        <f t="shared" si="14"/>
        <v>0.65</v>
      </c>
    </row>
    <row r="37" spans="1:21" ht="21.75" hidden="1" thickBot="1">
      <c r="A37" s="144" t="str">
        <f t="shared" si="15"/>
        <v>307-19092025</v>
      </c>
      <c r="B37" s="139" t="s">
        <v>10</v>
      </c>
      <c r="C37" s="138">
        <v>0</v>
      </c>
      <c r="D37" s="385">
        <f t="shared" si="0"/>
        <v>0</v>
      </c>
      <c r="E37" s="322">
        <f t="shared" si="9"/>
        <v>0</v>
      </c>
      <c r="F37" s="322">
        <f t="shared" si="1"/>
        <v>0</v>
      </c>
      <c r="G37" s="330">
        <f t="shared" si="2"/>
        <v>0</v>
      </c>
      <c r="H37" s="322">
        <f t="shared" si="17"/>
        <v>0</v>
      </c>
      <c r="I37" s="322">
        <f t="shared" si="16"/>
        <v>22.072072072072071</v>
      </c>
      <c r="J37" s="326">
        <f t="shared" si="4"/>
        <v>0</v>
      </c>
      <c r="K37" s="149">
        <f t="shared" si="10"/>
        <v>22.072072072072071</v>
      </c>
      <c r="L37" s="298">
        <f t="shared" si="11"/>
        <v>1.8990718499494497</v>
      </c>
      <c r="M37" s="298">
        <f t="shared" si="12"/>
        <v>1.1869199062184059</v>
      </c>
      <c r="N37" s="327">
        <f t="shared" si="13"/>
        <v>15.312499999999998</v>
      </c>
      <c r="O37" s="136">
        <f t="shared" si="5"/>
        <v>0.17551020408163276</v>
      </c>
      <c r="P37" s="134">
        <v>18</v>
      </c>
      <c r="Q37" s="134">
        <f t="shared" si="6"/>
        <v>19.62</v>
      </c>
      <c r="R37" s="133">
        <f t="shared" si="7"/>
        <v>0.46788990825688082</v>
      </c>
      <c r="S37" s="143">
        <f t="shared" si="8"/>
        <v>22.477064220183486</v>
      </c>
      <c r="T37" s="361">
        <v>24.5</v>
      </c>
      <c r="U37" s="355">
        <f t="shared" si="14"/>
        <v>0.61250000000000004</v>
      </c>
    </row>
    <row r="38" spans="1:21" ht="21.75" hidden="1" thickBot="1">
      <c r="A38" s="144" t="str">
        <f t="shared" si="15"/>
        <v>307-19092025</v>
      </c>
      <c r="B38" s="139" t="s">
        <v>9</v>
      </c>
      <c r="C38" s="138">
        <v>0</v>
      </c>
      <c r="D38" s="385">
        <f t="shared" si="0"/>
        <v>0</v>
      </c>
      <c r="E38" s="322">
        <f t="shared" si="9"/>
        <v>0</v>
      </c>
      <c r="F38" s="322">
        <f t="shared" si="1"/>
        <v>0</v>
      </c>
      <c r="G38" s="330">
        <f t="shared" si="2"/>
        <v>0</v>
      </c>
      <c r="H38" s="322">
        <f t="shared" si="17"/>
        <v>0</v>
      </c>
      <c r="I38" s="322">
        <f t="shared" si="16"/>
        <v>22.522522522522522</v>
      </c>
      <c r="J38" s="326">
        <f t="shared" si="4"/>
        <v>0</v>
      </c>
      <c r="K38" s="149">
        <f t="shared" si="10"/>
        <v>22.522522522522522</v>
      </c>
      <c r="L38" s="298">
        <f t="shared" si="11"/>
        <v>1.937828418315765</v>
      </c>
      <c r="M38" s="298">
        <f t="shared" si="12"/>
        <v>1.2111427614473531</v>
      </c>
      <c r="N38" s="327">
        <f t="shared" si="13"/>
        <v>15.625</v>
      </c>
      <c r="O38" s="136">
        <f t="shared" si="5"/>
        <v>0.18399999999999994</v>
      </c>
      <c r="P38" s="134">
        <v>18.5</v>
      </c>
      <c r="Q38" s="134">
        <f t="shared" si="6"/>
        <v>20.165000000000003</v>
      </c>
      <c r="R38" s="133">
        <f t="shared" si="7"/>
        <v>0.46788990825688059</v>
      </c>
      <c r="S38" s="143">
        <f t="shared" si="8"/>
        <v>22.935779816513758</v>
      </c>
      <c r="T38" s="361">
        <v>25</v>
      </c>
      <c r="U38" s="355">
        <f t="shared" si="14"/>
        <v>0.625</v>
      </c>
    </row>
    <row r="39" spans="1:21" ht="21.75" thickBot="1">
      <c r="A39" s="144" t="str">
        <f t="shared" si="15"/>
        <v>307-19092025</v>
      </c>
      <c r="B39" s="139" t="s">
        <v>8</v>
      </c>
      <c r="C39" s="138">
        <v>4.41E-2</v>
      </c>
      <c r="D39" s="385">
        <f t="shared" si="0"/>
        <v>4.2424200000000001</v>
      </c>
      <c r="E39" s="322">
        <f t="shared" si="9"/>
        <v>54.731625874380008</v>
      </c>
      <c r="F39" s="322">
        <f t="shared" si="1"/>
        <v>2.7365812937190004</v>
      </c>
      <c r="G39" s="330">
        <f t="shared" si="2"/>
        <v>5.1746499674412352</v>
      </c>
      <c r="H39" s="322">
        <f t="shared" si="17"/>
        <v>1.2197401406370032</v>
      </c>
      <c r="I39" s="322">
        <f t="shared" si="16"/>
        <v>0.58206166116479841</v>
      </c>
      <c r="J39" s="326">
        <f t="shared" si="4"/>
        <v>0.47720136590800366</v>
      </c>
      <c r="K39" s="149">
        <f t="shared" si="10"/>
        <v>1.8018018018018016</v>
      </c>
      <c r="L39" s="298">
        <f t="shared" si="11"/>
        <v>0.15502627346526121</v>
      </c>
      <c r="M39" s="298">
        <f t="shared" si="12"/>
        <v>9.6891420915788257E-2</v>
      </c>
      <c r="N39" s="327">
        <f t="shared" si="13"/>
        <v>1.25</v>
      </c>
      <c r="O39" s="136">
        <f>(P39/(N39))-1</f>
        <v>0.43999999999999995</v>
      </c>
      <c r="P39" s="134">
        <v>1.8</v>
      </c>
      <c r="Q39" s="134">
        <f t="shared" si="6"/>
        <v>1.9620000000000002</v>
      </c>
      <c r="R39" s="133">
        <f t="shared" si="7"/>
        <v>0.46788990825688059</v>
      </c>
      <c r="S39" s="143">
        <f t="shared" si="8"/>
        <v>1.8348623853211008</v>
      </c>
      <c r="T39" s="361">
        <v>2</v>
      </c>
      <c r="U39" s="355">
        <f t="shared" si="14"/>
        <v>0.05</v>
      </c>
    </row>
    <row r="40" spans="1:21" ht="21.75" thickBot="1">
      <c r="A40" s="140"/>
      <c r="B40" s="139" t="s">
        <v>7</v>
      </c>
      <c r="C40" s="138">
        <v>2.8E-3</v>
      </c>
      <c r="D40" s="385">
        <f t="shared" si="0"/>
        <v>0.26935999999999999</v>
      </c>
      <c r="E40" s="322">
        <f t="shared" si="9"/>
        <v>3.4750238650400003</v>
      </c>
      <c r="F40" s="322">
        <f t="shared" si="1"/>
        <v>0</v>
      </c>
      <c r="G40" s="330">
        <f t="shared" si="2"/>
        <v>0</v>
      </c>
      <c r="H40" s="322">
        <f t="shared" si="17"/>
        <v>0</v>
      </c>
      <c r="I40" s="322">
        <f t="shared" si="16"/>
        <v>0</v>
      </c>
      <c r="J40" s="326">
        <f t="shared" si="4"/>
        <v>0</v>
      </c>
      <c r="K40" s="326"/>
      <c r="L40" s="298">
        <f t="shared" si="11"/>
        <v>0</v>
      </c>
      <c r="M40" s="298">
        <f t="shared" si="12"/>
        <v>0</v>
      </c>
      <c r="N40" s="327">
        <f t="shared" si="13"/>
        <v>0</v>
      </c>
      <c r="O40" s="136"/>
      <c r="P40" s="135">
        <v>0</v>
      </c>
      <c r="Q40" s="134">
        <f t="shared" si="6"/>
        <v>0</v>
      </c>
      <c r="R40" s="133"/>
      <c r="S40" s="132"/>
      <c r="T40" s="362"/>
      <c r="U40" s="356"/>
    </row>
    <row r="41" spans="1:21" ht="21.75" thickBot="1">
      <c r="A41" s="128"/>
      <c r="B41" s="173" t="s">
        <v>108</v>
      </c>
      <c r="C41" s="267">
        <f>SUM(C13:C40)</f>
        <v>1</v>
      </c>
      <c r="D41" s="126">
        <f>SUM(D13:D40)</f>
        <v>96.199999999999989</v>
      </c>
      <c r="E41" s="363">
        <f>SUM(E13:E40)</f>
        <v>1241.0799518000001</v>
      </c>
      <c r="F41" s="363">
        <f>SUM(F13:F40)</f>
        <v>656.33737575973123</v>
      </c>
      <c r="G41" s="363">
        <f>SUM(G13:G40)</f>
        <v>1241.0799518000001</v>
      </c>
      <c r="H41" s="364">
        <f>SUMPRODUCT(D13:D40,H13:H40)</f>
        <v>1241.0799518000001</v>
      </c>
      <c r="I41" s="364">
        <f t="shared" si="16"/>
        <v>592.2450481999997</v>
      </c>
      <c r="J41" s="365">
        <f t="shared" si="4"/>
        <v>0.47720136590800388</v>
      </c>
      <c r="K41" s="364">
        <f>T41/1.11</f>
        <v>1833.3249999999998</v>
      </c>
      <c r="L41" s="366">
        <f>T41/$N$10</f>
        <v>157.73851625438849</v>
      </c>
      <c r="M41" s="366">
        <f t="shared" si="12"/>
        <v>98.586572658992793</v>
      </c>
      <c r="N41" s="367">
        <f>SUMPRODUCT(D13:D40,N13:N40)</f>
        <v>1271.8692187499998</v>
      </c>
      <c r="O41" s="125"/>
      <c r="P41" s="124">
        <f>SUMPRODUCT($D$13:$D$40,$P$13:$P$40)</f>
        <v>1698.446594</v>
      </c>
      <c r="Q41" s="124">
        <f>SUMPRODUCT($D$13:$D$40,$Q$13:$Q$40)</f>
        <v>1851.3067874600001</v>
      </c>
      <c r="R41" s="123"/>
      <c r="S41" s="122">
        <f>SUMPRODUCT(D13:D40,S13:S40)</f>
        <v>1866.9639908256879</v>
      </c>
      <c r="T41" s="368">
        <f>SUMPRODUCT(D13:D40,T13:T40)</f>
        <v>2034.9907499999999</v>
      </c>
      <c r="U41" s="357"/>
    </row>
    <row r="42" spans="1:21">
      <c r="A42" s="65"/>
      <c r="B42" s="65" t="s">
        <v>6</v>
      </c>
      <c r="C42" s="114" t="s">
        <v>5</v>
      </c>
      <c r="D42" s="119"/>
      <c r="E42" s="119"/>
      <c r="F42" s="331">
        <f>E41/F41</f>
        <v>1.8909176859894821</v>
      </c>
      <c r="H42" s="119"/>
      <c r="I42" s="119"/>
      <c r="J42" s="119"/>
      <c r="K42" s="119"/>
      <c r="L42" s="358">
        <f t="shared" si="11"/>
        <v>0</v>
      </c>
      <c r="M42" s="358">
        <f t="shared" si="12"/>
        <v>0</v>
      </c>
      <c r="N42" s="359">
        <f t="shared" si="13"/>
        <v>0</v>
      </c>
      <c r="O42" s="118"/>
      <c r="P42" s="118"/>
      <c r="Q42" s="118"/>
      <c r="R42" s="49"/>
      <c r="S42" s="65"/>
      <c r="T42" s="332"/>
    </row>
    <row r="43" spans="1:21">
      <c r="B43" s="56" t="s">
        <v>4</v>
      </c>
      <c r="C43" s="32"/>
      <c r="D43" s="40"/>
      <c r="E43" s="40"/>
      <c r="F43" s="40"/>
      <c r="G43" s="40"/>
      <c r="H43" s="40"/>
      <c r="I43" s="40"/>
      <c r="J43" s="40"/>
      <c r="K43" s="40"/>
      <c r="L43" s="299"/>
      <c r="M43" s="299"/>
      <c r="N43" s="9"/>
      <c r="O43" s="40"/>
      <c r="P43" s="40">
        <f>P41-N41</f>
        <v>426.57737525000016</v>
      </c>
      <c r="Q43" s="40"/>
      <c r="R43" s="116">
        <f>P43/$D$10</f>
        <v>4.4342762500000017</v>
      </c>
      <c r="S43" s="40">
        <f>(S41)-(N41)</f>
        <v>595.09477207568807</v>
      </c>
      <c r="T43" s="116">
        <f>I41/D41</f>
        <v>6.1563934324324299</v>
      </c>
      <c r="U43" s="44"/>
    </row>
    <row r="44" spans="1:21">
      <c r="B44" s="56" t="s">
        <v>3</v>
      </c>
      <c r="C44" s="32"/>
      <c r="D44" s="61"/>
      <c r="E44" s="61"/>
      <c r="F44" s="61"/>
      <c r="G44" s="61"/>
      <c r="H44" s="61"/>
      <c r="I44" s="61"/>
      <c r="J44" s="61"/>
      <c r="K44" s="61"/>
      <c r="L44" s="300"/>
      <c r="M44" s="300"/>
      <c r="N44" s="32"/>
      <c r="O44" s="61"/>
      <c r="P44" s="61">
        <f>P41/N41-1</f>
        <v>0.33539405542752476</v>
      </c>
      <c r="Q44" s="61"/>
      <c r="R44" s="59"/>
      <c r="S44" s="61">
        <f>(S41)/(N41)-1</f>
        <v>0.46788990825688082</v>
      </c>
      <c r="T44" s="61">
        <f>J41</f>
        <v>0.47720136590800388</v>
      </c>
      <c r="U44" s="44"/>
    </row>
    <row r="45" spans="1:21">
      <c r="B45" s="56" t="s">
        <v>2</v>
      </c>
      <c r="C45" s="117"/>
      <c r="D45" s="45"/>
      <c r="E45" s="45"/>
      <c r="F45" s="45"/>
      <c r="G45" s="45"/>
      <c r="H45" s="45"/>
      <c r="I45" s="45"/>
      <c r="J45" s="45"/>
      <c r="K45" s="45"/>
      <c r="L45" s="301"/>
      <c r="M45" s="301"/>
      <c r="N45" s="32"/>
      <c r="O45" s="117">
        <f>[1]KOLTSEGEK!B27</f>
        <v>7.9729729729729728</v>
      </c>
      <c r="P45" s="45">
        <f>D10*O45</f>
        <v>767</v>
      </c>
      <c r="Q45" s="45"/>
      <c r="R45" s="117">
        <f>[1]KOLTSEGEK!B37</f>
        <v>0.52100000000000002</v>
      </c>
      <c r="S45" s="59">
        <f>(R45+O45)*D10</f>
        <v>817.12019999999995</v>
      </c>
      <c r="T45" s="116">
        <v>5</v>
      </c>
      <c r="U45" s="44"/>
    </row>
    <row r="46" spans="1:21">
      <c r="B46" s="56" t="s">
        <v>1</v>
      </c>
      <c r="C46" s="32"/>
      <c r="D46" s="40"/>
      <c r="E46" s="40"/>
      <c r="F46" s="40"/>
      <c r="G46" s="40"/>
      <c r="H46" s="40"/>
      <c r="I46" s="40"/>
      <c r="J46" s="40"/>
      <c r="K46" s="40"/>
      <c r="L46" s="299"/>
      <c r="M46" s="299"/>
      <c r="N46" s="32"/>
      <c r="O46" s="71"/>
      <c r="P46" s="40">
        <f>P43-P45</f>
        <v>-340.42262474999984</v>
      </c>
      <c r="Q46" s="40"/>
      <c r="R46" s="116">
        <f>P46/$D$10</f>
        <v>-3.5386967229729711</v>
      </c>
      <c r="S46" s="40">
        <f>S43-S45</f>
        <v>-222.02542792431188</v>
      </c>
      <c r="T46" s="116">
        <f>T43-T45</f>
        <v>1.1563934324324299</v>
      </c>
      <c r="U46" s="44"/>
    </row>
    <row r="47" spans="1:21">
      <c r="B47" s="56" t="s">
        <v>0</v>
      </c>
      <c r="C47" s="32"/>
      <c r="D47" s="35"/>
      <c r="E47" s="35"/>
      <c r="F47" s="35"/>
      <c r="G47" s="35"/>
      <c r="H47" s="35"/>
      <c r="I47" s="35"/>
      <c r="J47" s="35"/>
      <c r="K47" s="35"/>
      <c r="L47" s="302"/>
      <c r="M47" s="302"/>
      <c r="N47" s="32"/>
      <c r="O47" s="59"/>
      <c r="P47" s="35">
        <f>P46/N41</f>
        <v>-0.26765536875290458</v>
      </c>
      <c r="Q47" s="35"/>
      <c r="R47" s="59"/>
      <c r="S47" s="35">
        <f>S46/(N41)</f>
        <v>-0.17456624049956937</v>
      </c>
      <c r="T47" s="61">
        <f>T46/T43</f>
        <v>0.18783618121942078</v>
      </c>
      <c r="U47" s="39"/>
    </row>
    <row r="48" spans="1:21" ht="21.75" thickBot="1">
      <c r="A48" s="65"/>
      <c r="B48" s="24"/>
      <c r="C48" s="16"/>
      <c r="D48" s="115"/>
      <c r="E48" s="115"/>
      <c r="F48" s="115"/>
      <c r="G48" s="115"/>
      <c r="H48" s="115"/>
      <c r="I48" s="115"/>
      <c r="J48" s="115"/>
      <c r="K48" s="115"/>
      <c r="L48" s="303"/>
      <c r="M48" s="303"/>
      <c r="N48" s="24"/>
      <c r="O48" s="47"/>
      <c r="P48" s="47"/>
      <c r="Q48" s="47"/>
      <c r="R48" s="47"/>
      <c r="S48" s="25"/>
    </row>
    <row r="49" spans="1:41" ht="21.75" thickBot="1">
      <c r="A49" s="408" t="s">
        <v>111</v>
      </c>
      <c r="B49" s="409" t="s">
        <v>112</v>
      </c>
      <c r="C49" s="412" t="s">
        <v>109</v>
      </c>
      <c r="D49" s="415"/>
      <c r="E49" s="411"/>
      <c r="F49" s="411"/>
      <c r="G49" s="411"/>
      <c r="H49" s="410" t="s">
        <v>113</v>
      </c>
      <c r="I49" s="411"/>
      <c r="J49" s="411"/>
      <c r="K49" s="411"/>
      <c r="L49" s="416"/>
      <c r="M49" s="416"/>
      <c r="N49" s="602" t="s">
        <v>59</v>
      </c>
      <c r="O49" s="602"/>
      <c r="P49" s="603"/>
      <c r="Q49" s="425"/>
      <c r="R49" s="418" t="s">
        <v>58</v>
      </c>
      <c r="S49" s="419"/>
      <c r="T49" s="420"/>
      <c r="U49" s="252"/>
      <c r="V49" s="422"/>
      <c r="W49" s="422"/>
      <c r="X49" s="422"/>
    </row>
    <row r="50" spans="1:41">
      <c r="A50" s="225"/>
      <c r="B50" s="414">
        <f>C50+D50</f>
        <v>175.3</v>
      </c>
      <c r="C50" s="31">
        <v>175.3</v>
      </c>
      <c r="D50" s="238"/>
      <c r="E50" s="284"/>
      <c r="F50" s="284"/>
      <c r="G50" s="284"/>
      <c r="H50" s="284"/>
      <c r="I50" s="284"/>
      <c r="J50" s="284"/>
      <c r="K50" s="284"/>
      <c r="L50" s="289"/>
      <c r="M50" s="289"/>
      <c r="N50" s="234"/>
      <c r="O50" s="235"/>
      <c r="P50" s="220"/>
      <c r="Q50" s="219"/>
      <c r="R50" s="219"/>
      <c r="S50" s="237"/>
      <c r="T50" s="31"/>
      <c r="U50" s="236"/>
      <c r="V50" s="422"/>
      <c r="W50" s="422"/>
      <c r="X50" s="422"/>
    </row>
    <row r="51" spans="1:41" ht="21.75" thickBot="1">
      <c r="A51" s="232">
        <f>B50/B51</f>
        <v>43.825000000000003</v>
      </c>
      <c r="B51" s="201">
        <f>C51+D51</f>
        <v>4</v>
      </c>
      <c r="C51" s="223">
        <v>4</v>
      </c>
      <c r="D51" s="231"/>
      <c r="E51" s="280"/>
      <c r="F51" s="280"/>
      <c r="G51" s="280"/>
      <c r="H51" s="280"/>
      <c r="I51" s="280"/>
      <c r="J51" s="280"/>
      <c r="K51" s="280"/>
      <c r="L51" s="290"/>
      <c r="M51" s="290"/>
      <c r="N51" s="230"/>
      <c r="O51" s="229"/>
      <c r="P51" s="228"/>
      <c r="Q51" s="227"/>
      <c r="R51" s="227"/>
      <c r="S51" s="226"/>
      <c r="T51" s="223"/>
      <c r="U51" s="225"/>
      <c r="V51" s="422"/>
      <c r="W51" s="422"/>
      <c r="X51" s="422"/>
    </row>
    <row r="52" spans="1:41" ht="21.75" thickBot="1">
      <c r="A52" s="369"/>
      <c r="B52" s="370">
        <f>A52/A54</f>
        <v>0</v>
      </c>
      <c r="C52" s="103"/>
      <c r="D52" s="95"/>
      <c r="E52" s="95"/>
      <c r="F52" s="95"/>
      <c r="G52" s="95"/>
      <c r="H52" s="95"/>
      <c r="I52" s="95"/>
      <c r="J52" s="95"/>
      <c r="K52" s="95"/>
      <c r="L52" s="291"/>
      <c r="M52" s="291"/>
      <c r="N52" s="32"/>
      <c r="O52" s="221" t="s">
        <v>55</v>
      </c>
      <c r="P52" s="220">
        <f>R52*A52</f>
        <v>0</v>
      </c>
      <c r="Q52" s="219"/>
      <c r="R52" s="218">
        <f>B54*1.09</f>
        <v>14.062132510000001</v>
      </c>
      <c r="S52" s="32" t="s">
        <v>54</v>
      </c>
      <c r="T52" s="31"/>
      <c r="U52" s="422"/>
      <c r="V52" s="422"/>
      <c r="W52" s="422"/>
      <c r="X52" s="42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>
      <c r="A53" s="372" t="s">
        <v>41</v>
      </c>
      <c r="B53" s="373" t="s">
        <v>101</v>
      </c>
      <c r="C53" s="374" t="s">
        <v>102</v>
      </c>
      <c r="D53" s="375" t="s">
        <v>103</v>
      </c>
      <c r="E53" s="374" t="e">
        <f>D53/1.11</f>
        <v>#VALUE!</v>
      </c>
      <c r="F53" s="374"/>
      <c r="G53" s="374"/>
      <c r="H53" s="374" t="s">
        <v>104</v>
      </c>
      <c r="I53" s="376" t="s">
        <v>105</v>
      </c>
      <c r="J53" s="95"/>
      <c r="K53" s="95"/>
      <c r="L53" s="291"/>
      <c r="M53" s="291"/>
      <c r="N53" s="31" t="e">
        <f>C53+D53</f>
        <v>#VALUE!</v>
      </c>
      <c r="O53" s="212"/>
      <c r="P53" s="215"/>
      <c r="Q53" s="214"/>
      <c r="R53" s="209"/>
      <c r="S53" s="32">
        <v>6439.36</v>
      </c>
      <c r="T53" s="31"/>
      <c r="U53" s="422"/>
      <c r="V53" s="422"/>
      <c r="W53" s="422"/>
      <c r="X53" s="422"/>
      <c r="Y53" s="340"/>
      <c r="Z53" s="199"/>
      <c r="AA53" s="199"/>
      <c r="AB53" s="104"/>
      <c r="AC53" s="104"/>
      <c r="AD53" s="104"/>
      <c r="AE53" s="104"/>
      <c r="AF53" s="104"/>
      <c r="AG53" s="104"/>
    </row>
    <row r="54" spans="1:41" ht="21.75" thickBot="1">
      <c r="A54" s="371">
        <f>B50</f>
        <v>175.3</v>
      </c>
      <c r="B54" s="377">
        <v>12.901039000000001</v>
      </c>
      <c r="C54" s="378">
        <f>A54*B54</f>
        <v>2261.5521367000001</v>
      </c>
      <c r="D54" s="378">
        <f>C54*0.11</f>
        <v>248.77073503700001</v>
      </c>
      <c r="E54" s="378"/>
      <c r="F54" s="378"/>
      <c r="G54" s="378"/>
      <c r="H54" s="378">
        <f>SUM(C54:D54)</f>
        <v>2510.3228717370002</v>
      </c>
      <c r="I54" s="379">
        <v>308</v>
      </c>
      <c r="J54" s="31"/>
      <c r="K54" s="31"/>
      <c r="L54" s="289"/>
      <c r="M54" s="289"/>
      <c r="N54" s="31">
        <f>B54*1.09</f>
        <v>14.062132510000001</v>
      </c>
      <c r="O54" s="380" t="s">
        <v>52</v>
      </c>
      <c r="P54" s="381">
        <f>SUM(P52:P53)</f>
        <v>0</v>
      </c>
      <c r="Q54" s="382"/>
      <c r="R54" s="383">
        <f>P54/A54</f>
        <v>0</v>
      </c>
      <c r="S54" s="32"/>
      <c r="T54" s="34"/>
      <c r="U54" s="422"/>
      <c r="V54" s="422"/>
      <c r="W54" s="422"/>
      <c r="X54" s="422"/>
      <c r="AE54" s="97"/>
      <c r="AJ54" s="97"/>
    </row>
    <row r="55" spans="1:41" ht="21.75" thickBot="1">
      <c r="A55" s="413">
        <v>45919</v>
      </c>
      <c r="B55" s="24" t="s">
        <v>50</v>
      </c>
      <c r="C55" s="196"/>
      <c r="D55" s="422"/>
      <c r="E55" s="98"/>
      <c r="F55" s="98"/>
      <c r="G55" s="98"/>
      <c r="H55" s="98"/>
      <c r="I55" s="98"/>
      <c r="J55" s="98"/>
      <c r="K55" s="98"/>
      <c r="L55" s="293"/>
      <c r="M55" s="293"/>
      <c r="N55" s="195"/>
      <c r="O55" s="24"/>
      <c r="P55" s="9">
        <f>P57*1.09</f>
        <v>16.895</v>
      </c>
      <c r="Q55" s="9"/>
      <c r="R55" s="24"/>
      <c r="S55" s="24"/>
      <c r="T55" s="422"/>
      <c r="U55" s="97"/>
      <c r="V55" s="422"/>
      <c r="W55" s="422"/>
      <c r="X55" s="422"/>
    </row>
    <row r="56" spans="1:41" ht="62.25" customHeight="1" thickBot="1">
      <c r="A56" s="398"/>
      <c r="B56" s="399" t="s">
        <v>48</v>
      </c>
      <c r="C56" s="400"/>
      <c r="D56" s="401" t="s">
        <v>106</v>
      </c>
      <c r="E56" s="401"/>
      <c r="F56" s="401"/>
      <c r="G56" s="401"/>
      <c r="H56" s="401" t="s">
        <v>49</v>
      </c>
      <c r="I56" s="401" t="s">
        <v>107</v>
      </c>
      <c r="J56" s="401" t="s">
        <v>107</v>
      </c>
      <c r="K56" s="402" t="s">
        <v>97</v>
      </c>
      <c r="L56" s="403"/>
      <c r="M56" s="403"/>
      <c r="N56" s="404" t="s">
        <v>40</v>
      </c>
      <c r="O56" s="405" t="s">
        <v>37</v>
      </c>
      <c r="P56" s="402" t="s">
        <v>47</v>
      </c>
      <c r="Q56" s="402"/>
      <c r="R56" s="405" t="s">
        <v>37</v>
      </c>
      <c r="S56" s="406" t="s">
        <v>36</v>
      </c>
      <c r="T56" s="407" t="s">
        <v>35</v>
      </c>
      <c r="U56" s="351"/>
      <c r="V56" s="422"/>
      <c r="W56" s="422"/>
      <c r="X56" s="422"/>
    </row>
    <row r="57" spans="1:41">
      <c r="A57" s="386"/>
      <c r="B57" s="387" t="s">
        <v>45</v>
      </c>
      <c r="C57" s="388">
        <f>B51</f>
        <v>4</v>
      </c>
      <c r="D57" s="389">
        <f>B50</f>
        <v>175.3</v>
      </c>
      <c r="E57" s="390"/>
      <c r="F57" s="390"/>
      <c r="G57" s="390"/>
      <c r="H57" s="390"/>
      <c r="I57" s="390"/>
      <c r="J57" s="390"/>
      <c r="K57" s="390"/>
      <c r="L57" s="391"/>
      <c r="M57" s="391"/>
      <c r="N57" s="392">
        <f>B54</f>
        <v>12.901039000000001</v>
      </c>
      <c r="O57" s="393">
        <f>((P57)/N57)-1</f>
        <v>0.20145361935577433</v>
      </c>
      <c r="P57" s="394">
        <v>15.5</v>
      </c>
      <c r="Q57" s="394">
        <f>P57*1.09</f>
        <v>16.895</v>
      </c>
      <c r="R57" s="395">
        <f>((S57)/N57)-1</f>
        <v>-1</v>
      </c>
      <c r="S57" s="396">
        <f>T57/1.09</f>
        <v>0</v>
      </c>
      <c r="T57" s="397"/>
      <c r="U57" s="352"/>
      <c r="V57" s="422"/>
      <c r="W57" s="422"/>
      <c r="X57" s="422"/>
    </row>
    <row r="58" spans="1:41">
      <c r="A58" s="176" t="s">
        <v>44</v>
      </c>
      <c r="B58" s="175" t="s">
        <v>43</v>
      </c>
      <c r="C58" s="174">
        <f>D57/C57</f>
        <v>43.825000000000003</v>
      </c>
      <c r="D58" s="173" t="s">
        <v>42</v>
      </c>
      <c r="E58" s="173"/>
      <c r="F58" s="173"/>
      <c r="G58" s="173"/>
      <c r="H58" s="173"/>
      <c r="I58" s="173"/>
      <c r="J58" s="173"/>
      <c r="K58" s="173"/>
      <c r="L58" s="296"/>
      <c r="M58" s="296"/>
      <c r="N58" s="324">
        <f>D57*N57</f>
        <v>2261.5521367000001</v>
      </c>
      <c r="O58" s="171">
        <f>N58*O57</f>
        <v>455.59786329999991</v>
      </c>
      <c r="P58" s="170">
        <f>D57*P57</f>
        <v>2717.15</v>
      </c>
      <c r="Q58" s="170"/>
      <c r="R58" s="169">
        <f>N58*R57</f>
        <v>-2261.5521367000001</v>
      </c>
      <c r="S58" s="168">
        <f>D57*S57</f>
        <v>0</v>
      </c>
      <c r="T58" s="166"/>
      <c r="U58" s="353"/>
      <c r="V58" s="422"/>
      <c r="W58" s="422"/>
      <c r="X58" s="422"/>
    </row>
    <row r="59" spans="1:41" ht="18" customHeight="1" thickBot="1">
      <c r="A59" s="164"/>
      <c r="B59" s="164"/>
      <c r="C59" s="164"/>
      <c r="D59" s="164"/>
      <c r="E59" s="328" t="s">
        <v>92</v>
      </c>
      <c r="F59" s="164" t="s">
        <v>87</v>
      </c>
      <c r="G59" s="329" t="s">
        <v>88</v>
      </c>
      <c r="H59" s="164"/>
      <c r="I59" s="164"/>
      <c r="J59" s="164"/>
      <c r="K59" s="422"/>
      <c r="L59" s="297"/>
      <c r="M59" s="297"/>
      <c r="N59" s="163" t="s">
        <v>40</v>
      </c>
      <c r="O59" s="162" t="s">
        <v>37</v>
      </c>
      <c r="P59" s="160" t="s">
        <v>39</v>
      </c>
      <c r="Q59" s="161" t="s">
        <v>38</v>
      </c>
      <c r="R59" s="162" t="s">
        <v>37</v>
      </c>
      <c r="S59" s="161" t="s">
        <v>36</v>
      </c>
      <c r="T59" s="159"/>
      <c r="U59" s="354" t="s">
        <v>86</v>
      </c>
      <c r="V59" s="422"/>
      <c r="W59" s="335" t="s">
        <v>85</v>
      </c>
      <c r="X59" s="333">
        <f>MAX(T60:T86)</f>
        <v>40</v>
      </c>
    </row>
    <row r="60" spans="1:41" ht="21.75" thickBot="1">
      <c r="A60" s="157" t="s">
        <v>114</v>
      </c>
      <c r="B60" s="156" t="s">
        <v>72</v>
      </c>
      <c r="C60" s="155">
        <v>1.67E-2</v>
      </c>
      <c r="D60" s="384">
        <f>$D$57*C60</f>
        <v>2.9275100000000003</v>
      </c>
      <c r="E60" s="322">
        <f>D60*$N$10</f>
        <v>37.767920682890008</v>
      </c>
      <c r="F60" s="322">
        <f t="shared" ref="F60:F87" si="18">D60*$N$10*U60</f>
        <v>7.5535841365780021</v>
      </c>
      <c r="G60" s="330">
        <f t="shared" ref="G60:G87" si="19">F60*$F$42</f>
        <v>14.283205836464935</v>
      </c>
      <c r="H60" s="322">
        <f t="shared" ref="H60:H61" si="20">IF(D60 &gt; 0, G60/D60, 0)</f>
        <v>4.8789605625480128</v>
      </c>
      <c r="I60" s="322">
        <f>K60-H60</f>
        <v>2.3282466446591936</v>
      </c>
      <c r="J60" s="326">
        <f t="shared" ref="J60:J88" si="21">IF(H60 &gt; 0, I60/H60, 0)</f>
        <v>0.47720136590800366</v>
      </c>
      <c r="K60" s="149">
        <f>T60/1.11</f>
        <v>7.2072072072072064</v>
      </c>
      <c r="L60" s="298">
        <f>T60/$N$10</f>
        <v>0.62010509386104484</v>
      </c>
      <c r="M60" s="298">
        <f>L60/1.6</f>
        <v>0.38756568366315303</v>
      </c>
      <c r="N60" s="327">
        <f>M60*$N$10</f>
        <v>5</v>
      </c>
      <c r="O60" s="153">
        <f t="shared" ref="O60:O85" si="22">(P60/(N60))-1</f>
        <v>0.39999999999999991</v>
      </c>
      <c r="P60" s="152">
        <v>7</v>
      </c>
      <c r="Q60" s="152">
        <f t="shared" ref="Q60:Q87" si="23">P60*1.09</f>
        <v>7.6300000000000008</v>
      </c>
      <c r="R60" s="151">
        <f t="shared" ref="R60:R86" si="24">((S60)/N60)-1</f>
        <v>0.46788990825688059</v>
      </c>
      <c r="S60" s="150">
        <f t="shared" ref="S60:S86" si="25">T60/1.09</f>
        <v>7.3394495412844032</v>
      </c>
      <c r="T60" s="360">
        <v>8</v>
      </c>
      <c r="U60" s="355">
        <f>T60/$X$12</f>
        <v>0.2</v>
      </c>
      <c r="V60" s="337"/>
      <c r="W60" s="335" t="s">
        <v>99</v>
      </c>
      <c r="X60" s="333">
        <f>E88</f>
        <v>2261.5521367000006</v>
      </c>
    </row>
    <row r="61" spans="1:41" ht="21.75" thickBot="1">
      <c r="A61" s="144" t="str">
        <f>$A$60</f>
        <v>308-19092025</v>
      </c>
      <c r="B61" s="147" t="s">
        <v>73</v>
      </c>
      <c r="C61" s="138">
        <v>3.2599999999999997E-2</v>
      </c>
      <c r="D61" s="384">
        <f t="shared" ref="D61:D87" si="26">$D$57*C61</f>
        <v>5.7147800000000002</v>
      </c>
      <c r="E61" s="322">
        <f t="shared" ref="E61:E87" si="27">D61*$N$10</f>
        <v>73.726599656420007</v>
      </c>
      <c r="F61" s="322">
        <f t="shared" si="18"/>
        <v>5.5294949742315005</v>
      </c>
      <c r="G61" s="330">
        <f t="shared" si="19"/>
        <v>10.455819841364299</v>
      </c>
      <c r="H61" s="322">
        <f t="shared" si="20"/>
        <v>1.8296102109555046</v>
      </c>
      <c r="I61" s="322">
        <f>K61-H61</f>
        <v>0.87309249174719805</v>
      </c>
      <c r="J61" s="326">
        <f t="shared" si="21"/>
        <v>0.47720136590800394</v>
      </c>
      <c r="K61" s="149">
        <f t="shared" ref="K61:K86" si="28">T61/1.11</f>
        <v>2.7027027027027026</v>
      </c>
      <c r="L61" s="298">
        <f t="shared" ref="L61:L87" si="29">T61/$N$10</f>
        <v>0.23253941019789179</v>
      </c>
      <c r="M61" s="298">
        <f t="shared" ref="M61:M89" si="30">L61/1.6</f>
        <v>0.14533713137368237</v>
      </c>
      <c r="N61" s="327">
        <f t="shared" ref="N61:N76" si="31">M61*$N$10</f>
        <v>1.875</v>
      </c>
      <c r="O61" s="136">
        <f t="shared" si="22"/>
        <v>6.6666666666666652E-2</v>
      </c>
      <c r="P61" s="134">
        <v>2</v>
      </c>
      <c r="Q61" s="134">
        <f t="shared" si="23"/>
        <v>2.1800000000000002</v>
      </c>
      <c r="R61" s="133">
        <f t="shared" si="24"/>
        <v>0.46788990825688059</v>
      </c>
      <c r="S61" s="143">
        <f t="shared" si="25"/>
        <v>2.7522935779816513</v>
      </c>
      <c r="T61" s="361">
        <v>3</v>
      </c>
      <c r="U61" s="355">
        <f t="shared" ref="U61:U86" si="32">T61/$X$12</f>
        <v>7.4999999999999997E-2</v>
      </c>
      <c r="V61" s="337"/>
      <c r="W61" s="335" t="s">
        <v>98</v>
      </c>
      <c r="X61" s="333">
        <f>T88/1.11</f>
        <v>3340.7679054054056</v>
      </c>
    </row>
    <row r="62" spans="1:41" ht="21.75" hidden="1" thickBot="1">
      <c r="A62" s="144" t="str">
        <f t="shared" ref="A62:A86" si="33">$A$60</f>
        <v>308-19092025</v>
      </c>
      <c r="B62" s="139" t="s">
        <v>32</v>
      </c>
      <c r="C62" s="138">
        <v>0</v>
      </c>
      <c r="D62" s="384">
        <f t="shared" si="26"/>
        <v>0</v>
      </c>
      <c r="E62" s="322">
        <f t="shared" si="27"/>
        <v>0</v>
      </c>
      <c r="F62" s="322">
        <f t="shared" si="18"/>
        <v>0</v>
      </c>
      <c r="G62" s="330">
        <f t="shared" si="19"/>
        <v>0</v>
      </c>
      <c r="H62" s="322">
        <f>IF(D62 &gt; 0, G62/D62, 0)</f>
        <v>0</v>
      </c>
      <c r="I62" s="322">
        <f t="shared" ref="I62:I88" si="34">K62-H62</f>
        <v>9.0090090090090076</v>
      </c>
      <c r="J62" s="326">
        <f t="shared" si="21"/>
        <v>0</v>
      </c>
      <c r="K62" s="149">
        <f t="shared" si="28"/>
        <v>9.0090090090090076</v>
      </c>
      <c r="L62" s="298">
        <f t="shared" si="29"/>
        <v>0.77513136732630594</v>
      </c>
      <c r="M62" s="298">
        <f t="shared" si="30"/>
        <v>0.4844571045789412</v>
      </c>
      <c r="N62" s="327">
        <f t="shared" si="31"/>
        <v>6.2499999999999991</v>
      </c>
      <c r="O62" s="136">
        <f t="shared" si="22"/>
        <v>0.28000000000000025</v>
      </c>
      <c r="P62" s="134">
        <v>8</v>
      </c>
      <c r="Q62" s="134">
        <f t="shared" si="23"/>
        <v>8.7200000000000006</v>
      </c>
      <c r="R62" s="133">
        <f t="shared" si="24"/>
        <v>0.46788990825688104</v>
      </c>
      <c r="S62" s="143">
        <f t="shared" si="25"/>
        <v>9.1743119266055047</v>
      </c>
      <c r="T62" s="361">
        <v>10</v>
      </c>
      <c r="U62" s="355">
        <f t="shared" si="32"/>
        <v>0.25</v>
      </c>
      <c r="V62" s="422"/>
      <c r="W62" s="335" t="s">
        <v>95</v>
      </c>
      <c r="X62" s="333">
        <f>X61-X60</f>
        <v>1079.215768705405</v>
      </c>
    </row>
    <row r="63" spans="1:41" ht="21.75" thickBot="1">
      <c r="A63" s="144" t="str">
        <f t="shared" si="33"/>
        <v>308-19092025</v>
      </c>
      <c r="B63" s="139" t="s">
        <v>74</v>
      </c>
      <c r="C63" s="138">
        <v>2.7300000000000001E-2</v>
      </c>
      <c r="D63" s="384">
        <f t="shared" si="26"/>
        <v>4.7856900000000007</v>
      </c>
      <c r="E63" s="322">
        <f t="shared" si="27"/>
        <v>61.740373331910014</v>
      </c>
      <c r="F63" s="322">
        <f t="shared" si="18"/>
        <v>29.326677332657255</v>
      </c>
      <c r="G63" s="330">
        <f t="shared" si="19"/>
        <v>55.454332839628449</v>
      </c>
      <c r="H63" s="322">
        <f t="shared" ref="H63:H87" si="35">IF(D63 &gt; 0, G63/D63, 0)</f>
        <v>11.587531336051528</v>
      </c>
      <c r="I63" s="322">
        <f t="shared" si="34"/>
        <v>5.5295857810655864</v>
      </c>
      <c r="J63" s="326">
        <f t="shared" si="21"/>
        <v>0.47720136590800388</v>
      </c>
      <c r="K63" s="149">
        <f t="shared" si="28"/>
        <v>17.117117117117115</v>
      </c>
      <c r="L63" s="298">
        <f t="shared" si="29"/>
        <v>1.4727495979199814</v>
      </c>
      <c r="M63" s="298">
        <f t="shared" si="30"/>
        <v>0.92046849869998837</v>
      </c>
      <c r="N63" s="327">
        <f t="shared" si="31"/>
        <v>11.875</v>
      </c>
      <c r="O63" s="136">
        <f t="shared" si="22"/>
        <v>0.34736842105263155</v>
      </c>
      <c r="P63" s="134">
        <v>16</v>
      </c>
      <c r="Q63" s="134">
        <f t="shared" si="23"/>
        <v>17.440000000000001</v>
      </c>
      <c r="R63" s="133">
        <f t="shared" si="24"/>
        <v>0.46788990825688059</v>
      </c>
      <c r="S63" s="143">
        <f t="shared" si="25"/>
        <v>17.431192660550458</v>
      </c>
      <c r="T63" s="361">
        <v>19</v>
      </c>
      <c r="U63" s="355">
        <f t="shared" si="32"/>
        <v>0.47499999999999998</v>
      </c>
      <c r="V63" s="422"/>
      <c r="W63" s="335" t="s">
        <v>96</v>
      </c>
      <c r="X63" s="334">
        <f>X62/X60</f>
        <v>0.47720136590800388</v>
      </c>
    </row>
    <row r="64" spans="1:41" ht="21.75" thickBot="1">
      <c r="A64" s="144" t="str">
        <f t="shared" si="33"/>
        <v>308-19092025</v>
      </c>
      <c r="B64" s="139" t="s">
        <v>30</v>
      </c>
      <c r="C64" s="138">
        <v>1.15E-2</v>
      </c>
      <c r="D64" s="384">
        <f t="shared" si="26"/>
        <v>2.0159500000000001</v>
      </c>
      <c r="E64" s="322">
        <f t="shared" si="27"/>
        <v>26.007849572050002</v>
      </c>
      <c r="F64" s="322">
        <f t="shared" si="18"/>
        <v>13.003924786025001</v>
      </c>
      <c r="G64" s="330">
        <f t="shared" si="19"/>
        <v>24.589351365171666</v>
      </c>
      <c r="H64" s="322">
        <f t="shared" si="35"/>
        <v>12.197401406370032</v>
      </c>
      <c r="I64" s="322">
        <f t="shared" si="34"/>
        <v>5.8206166116479832</v>
      </c>
      <c r="J64" s="326">
        <f t="shared" si="21"/>
        <v>0.47720136590800361</v>
      </c>
      <c r="K64" s="149">
        <f t="shared" si="28"/>
        <v>18.018018018018015</v>
      </c>
      <c r="L64" s="298">
        <f t="shared" si="29"/>
        <v>1.5502627346526119</v>
      </c>
      <c r="M64" s="298">
        <f t="shared" si="30"/>
        <v>0.9689142091578824</v>
      </c>
      <c r="N64" s="327">
        <f t="shared" si="31"/>
        <v>12.499999999999998</v>
      </c>
      <c r="O64" s="136">
        <f t="shared" si="22"/>
        <v>4.0000000000000258E-2</v>
      </c>
      <c r="P64" s="134">
        <v>13</v>
      </c>
      <c r="Q64" s="134">
        <f t="shared" si="23"/>
        <v>14.170000000000002</v>
      </c>
      <c r="R64" s="133">
        <f t="shared" si="24"/>
        <v>0.46788990825688104</v>
      </c>
      <c r="S64" s="143">
        <f t="shared" si="25"/>
        <v>18.348623853211009</v>
      </c>
      <c r="T64" s="361">
        <v>20</v>
      </c>
      <c r="U64" s="355">
        <f t="shared" si="32"/>
        <v>0.5</v>
      </c>
      <c r="V64" s="422"/>
      <c r="W64" s="32"/>
      <c r="X64" s="32"/>
    </row>
    <row r="65" spans="1:24" ht="21.75" thickBot="1">
      <c r="A65" s="144" t="str">
        <f t="shared" si="33"/>
        <v>308-19092025</v>
      </c>
      <c r="B65" s="139" t="s">
        <v>75</v>
      </c>
      <c r="C65" s="138">
        <v>0.1198</v>
      </c>
      <c r="D65" s="384">
        <f t="shared" si="26"/>
        <v>21.000940000000003</v>
      </c>
      <c r="E65" s="322">
        <f t="shared" si="27"/>
        <v>270.93394597666008</v>
      </c>
      <c r="F65" s="322">
        <f t="shared" si="18"/>
        <v>169.33371623541257</v>
      </c>
      <c r="G65" s="330">
        <f t="shared" si="19"/>
        <v>320.19611886386593</v>
      </c>
      <c r="H65" s="322">
        <f t="shared" si="35"/>
        <v>15.246751757962542</v>
      </c>
      <c r="I65" s="322">
        <f t="shared" si="34"/>
        <v>7.2757707645599794</v>
      </c>
      <c r="J65" s="326">
        <f t="shared" si="21"/>
        <v>0.47720136590800355</v>
      </c>
      <c r="K65" s="149">
        <f t="shared" si="28"/>
        <v>22.522522522522522</v>
      </c>
      <c r="L65" s="298">
        <f t="shared" si="29"/>
        <v>1.937828418315765</v>
      </c>
      <c r="M65" s="298">
        <f t="shared" si="30"/>
        <v>1.2111427614473531</v>
      </c>
      <c r="N65" s="327">
        <f t="shared" si="31"/>
        <v>15.625</v>
      </c>
      <c r="O65" s="136">
        <f t="shared" si="22"/>
        <v>0.31200000000000006</v>
      </c>
      <c r="P65" s="134">
        <v>20.5</v>
      </c>
      <c r="Q65" s="134">
        <f t="shared" si="23"/>
        <v>22.345000000000002</v>
      </c>
      <c r="R65" s="133">
        <f t="shared" si="24"/>
        <v>0.46788990825688059</v>
      </c>
      <c r="S65" s="143">
        <f t="shared" si="25"/>
        <v>22.935779816513758</v>
      </c>
      <c r="T65" s="361">
        <v>25</v>
      </c>
      <c r="U65" s="355">
        <f t="shared" si="32"/>
        <v>0.625</v>
      </c>
      <c r="V65" s="422"/>
      <c r="W65" s="422"/>
      <c r="X65" s="422"/>
    </row>
    <row r="66" spans="1:24" ht="21.75" thickBot="1">
      <c r="A66" s="144" t="str">
        <f t="shared" si="33"/>
        <v>308-19092025</v>
      </c>
      <c r="B66" s="139" t="s">
        <v>76</v>
      </c>
      <c r="C66" s="138">
        <v>5.3699999999999998E-2</v>
      </c>
      <c r="D66" s="384">
        <f t="shared" si="26"/>
        <v>9.4136100000000003</v>
      </c>
      <c r="E66" s="322">
        <f t="shared" si="27"/>
        <v>121.44534974079001</v>
      </c>
      <c r="F66" s="322">
        <f t="shared" si="18"/>
        <v>75.90334358799376</v>
      </c>
      <c r="G66" s="330">
        <f t="shared" si="19"/>
        <v>143.52697481627376</v>
      </c>
      <c r="H66" s="322">
        <f t="shared" si="35"/>
        <v>15.246751757962542</v>
      </c>
      <c r="I66" s="322">
        <f t="shared" si="34"/>
        <v>7.2757707645599794</v>
      </c>
      <c r="J66" s="326">
        <f t="shared" si="21"/>
        <v>0.47720136590800355</v>
      </c>
      <c r="K66" s="149">
        <f t="shared" si="28"/>
        <v>22.522522522522522</v>
      </c>
      <c r="L66" s="298">
        <f t="shared" si="29"/>
        <v>1.937828418315765</v>
      </c>
      <c r="M66" s="298">
        <f t="shared" si="30"/>
        <v>1.2111427614473531</v>
      </c>
      <c r="N66" s="327">
        <f t="shared" si="31"/>
        <v>15.625</v>
      </c>
      <c r="O66" s="136">
        <f t="shared" si="22"/>
        <v>0.31200000000000006</v>
      </c>
      <c r="P66" s="134">
        <v>20.5</v>
      </c>
      <c r="Q66" s="134">
        <f t="shared" si="23"/>
        <v>22.345000000000002</v>
      </c>
      <c r="R66" s="133">
        <f t="shared" si="24"/>
        <v>0.46788990825688059</v>
      </c>
      <c r="S66" s="143">
        <f t="shared" si="25"/>
        <v>22.935779816513758</v>
      </c>
      <c r="T66" s="361">
        <v>25</v>
      </c>
      <c r="U66" s="355">
        <f t="shared" si="32"/>
        <v>0.625</v>
      </c>
      <c r="V66" s="422"/>
      <c r="W66" s="422"/>
      <c r="X66" s="422"/>
    </row>
    <row r="67" spans="1:24" ht="21.75" hidden="1" thickBot="1">
      <c r="A67" s="144" t="str">
        <f t="shared" si="33"/>
        <v>308-19092025</v>
      </c>
      <c r="B67" s="139" t="s">
        <v>27</v>
      </c>
      <c r="C67" s="138">
        <v>0</v>
      </c>
      <c r="D67" s="384">
        <f t="shared" si="26"/>
        <v>0</v>
      </c>
      <c r="E67" s="322">
        <f t="shared" si="27"/>
        <v>0</v>
      </c>
      <c r="F67" s="322">
        <f t="shared" si="18"/>
        <v>0</v>
      </c>
      <c r="G67" s="330">
        <f t="shared" si="19"/>
        <v>0</v>
      </c>
      <c r="H67" s="322">
        <f t="shared" si="35"/>
        <v>0</v>
      </c>
      <c r="I67" s="322">
        <f t="shared" si="34"/>
        <v>22.072072072072071</v>
      </c>
      <c r="J67" s="326">
        <f t="shared" si="21"/>
        <v>0</v>
      </c>
      <c r="K67" s="149">
        <f t="shared" si="28"/>
        <v>22.072072072072071</v>
      </c>
      <c r="L67" s="298">
        <f t="shared" si="29"/>
        <v>1.8990718499494497</v>
      </c>
      <c r="M67" s="298">
        <f t="shared" si="30"/>
        <v>1.1869199062184059</v>
      </c>
      <c r="N67" s="327">
        <f t="shared" si="31"/>
        <v>15.312499999999998</v>
      </c>
      <c r="O67" s="136">
        <f t="shared" si="22"/>
        <v>0.14285714285714302</v>
      </c>
      <c r="P67" s="134">
        <v>17.5</v>
      </c>
      <c r="Q67" s="134">
        <f t="shared" si="23"/>
        <v>19.075000000000003</v>
      </c>
      <c r="R67" s="133">
        <f t="shared" si="24"/>
        <v>0.46788990825688082</v>
      </c>
      <c r="S67" s="143">
        <f t="shared" si="25"/>
        <v>22.477064220183486</v>
      </c>
      <c r="T67" s="361">
        <v>24.5</v>
      </c>
      <c r="U67" s="355">
        <f t="shared" si="32"/>
        <v>0.61250000000000004</v>
      </c>
      <c r="V67" s="422"/>
      <c r="W67" s="422"/>
      <c r="X67" s="422"/>
    </row>
    <row r="68" spans="1:24" ht="21.75" hidden="1" thickBot="1">
      <c r="A68" s="144" t="str">
        <f t="shared" si="33"/>
        <v>308-19092025</v>
      </c>
      <c r="B68" s="139" t="s">
        <v>26</v>
      </c>
      <c r="C68" s="138">
        <v>0</v>
      </c>
      <c r="D68" s="384">
        <f t="shared" si="26"/>
        <v>0</v>
      </c>
      <c r="E68" s="322">
        <f t="shared" si="27"/>
        <v>0</v>
      </c>
      <c r="F68" s="322">
        <f t="shared" si="18"/>
        <v>0</v>
      </c>
      <c r="G68" s="330">
        <f t="shared" si="19"/>
        <v>0</v>
      </c>
      <c r="H68" s="322">
        <f t="shared" si="35"/>
        <v>0</v>
      </c>
      <c r="I68" s="322">
        <f t="shared" si="34"/>
        <v>19.819819819819816</v>
      </c>
      <c r="J68" s="326">
        <f t="shared" si="21"/>
        <v>0</v>
      </c>
      <c r="K68" s="149">
        <f t="shared" si="28"/>
        <v>19.819819819819816</v>
      </c>
      <c r="L68" s="298">
        <f t="shared" si="29"/>
        <v>1.7052890081178731</v>
      </c>
      <c r="M68" s="298">
        <f t="shared" si="30"/>
        <v>1.0658056300736707</v>
      </c>
      <c r="N68" s="327">
        <f t="shared" si="31"/>
        <v>13.75</v>
      </c>
      <c r="O68" s="136">
        <f t="shared" si="22"/>
        <v>9.0909090909090828E-2</v>
      </c>
      <c r="P68" s="134">
        <v>15</v>
      </c>
      <c r="Q68" s="134">
        <f t="shared" si="23"/>
        <v>16.350000000000001</v>
      </c>
      <c r="R68" s="133">
        <f t="shared" si="24"/>
        <v>0.46788990825688059</v>
      </c>
      <c r="S68" s="143">
        <f t="shared" si="25"/>
        <v>20.183486238532108</v>
      </c>
      <c r="T68" s="361">
        <v>22</v>
      </c>
      <c r="U68" s="355">
        <f t="shared" si="32"/>
        <v>0.55000000000000004</v>
      </c>
      <c r="V68" s="422"/>
      <c r="W68" s="422"/>
      <c r="X68" s="422"/>
    </row>
    <row r="69" spans="1:24" ht="21.75" thickBot="1">
      <c r="A69" s="144" t="str">
        <f t="shared" si="33"/>
        <v>308-19092025</v>
      </c>
      <c r="B69" s="139" t="s">
        <v>77</v>
      </c>
      <c r="C69" s="138">
        <v>7.0499999999999993E-2</v>
      </c>
      <c r="D69" s="384">
        <f t="shared" si="26"/>
        <v>12.358649999999999</v>
      </c>
      <c r="E69" s="322">
        <f t="shared" si="27"/>
        <v>159.43942563734998</v>
      </c>
      <c r="F69" s="322">
        <f t="shared" si="18"/>
        <v>131.53752615081373</v>
      </c>
      <c r="G69" s="330">
        <f t="shared" si="19"/>
        <v>248.72663456987769</v>
      </c>
      <c r="H69" s="322">
        <f t="shared" si="35"/>
        <v>20.125712320510551</v>
      </c>
      <c r="I69" s="322">
        <f t="shared" si="34"/>
        <v>9.6040174092191748</v>
      </c>
      <c r="J69" s="326">
        <f t="shared" si="21"/>
        <v>0.47720136590800372</v>
      </c>
      <c r="K69" s="149">
        <f t="shared" si="28"/>
        <v>29.729729729729726</v>
      </c>
      <c r="L69" s="298">
        <f t="shared" si="29"/>
        <v>2.5579335121768096</v>
      </c>
      <c r="M69" s="298">
        <f t="shared" si="30"/>
        <v>1.598708445110506</v>
      </c>
      <c r="N69" s="327">
        <f t="shared" si="31"/>
        <v>20.625</v>
      </c>
      <c r="O69" s="136">
        <f t="shared" si="22"/>
        <v>0.35757575757575766</v>
      </c>
      <c r="P69" s="134">
        <v>28</v>
      </c>
      <c r="Q69" s="134">
        <f t="shared" si="23"/>
        <v>30.520000000000003</v>
      </c>
      <c r="R69" s="133">
        <f t="shared" si="24"/>
        <v>0.46788990825688059</v>
      </c>
      <c r="S69" s="143">
        <f t="shared" si="25"/>
        <v>30.275229357798164</v>
      </c>
      <c r="T69" s="361">
        <v>33</v>
      </c>
      <c r="U69" s="355">
        <f t="shared" si="32"/>
        <v>0.82499999999999996</v>
      </c>
      <c r="V69" s="422"/>
      <c r="W69" s="422"/>
      <c r="X69" s="422"/>
    </row>
    <row r="70" spans="1:24" ht="21.75" thickBot="1">
      <c r="A70" s="144" t="str">
        <f t="shared" si="33"/>
        <v>308-19092025</v>
      </c>
      <c r="B70" s="139" t="s">
        <v>78</v>
      </c>
      <c r="C70" s="138">
        <v>7.22E-2</v>
      </c>
      <c r="D70" s="384">
        <f t="shared" si="26"/>
        <v>12.65666</v>
      </c>
      <c r="E70" s="322">
        <f t="shared" si="27"/>
        <v>163.28406426974001</v>
      </c>
      <c r="F70" s="322">
        <f t="shared" si="18"/>
        <v>134.70935302253551</v>
      </c>
      <c r="G70" s="330">
        <f t="shared" si="19"/>
        <v>254.72429809851309</v>
      </c>
      <c r="H70" s="322">
        <f t="shared" si="35"/>
        <v>20.125712320510551</v>
      </c>
      <c r="I70" s="322">
        <f t="shared" si="34"/>
        <v>9.6040174092191748</v>
      </c>
      <c r="J70" s="326">
        <f t="shared" si="21"/>
        <v>0.47720136590800372</v>
      </c>
      <c r="K70" s="149">
        <f t="shared" si="28"/>
        <v>29.729729729729726</v>
      </c>
      <c r="L70" s="298">
        <f t="shared" si="29"/>
        <v>2.5579335121768096</v>
      </c>
      <c r="M70" s="298">
        <f t="shared" si="30"/>
        <v>1.598708445110506</v>
      </c>
      <c r="N70" s="327">
        <f t="shared" si="31"/>
        <v>20.625</v>
      </c>
      <c r="O70" s="136">
        <f t="shared" si="22"/>
        <v>0.35757575757575766</v>
      </c>
      <c r="P70" s="134">
        <v>28</v>
      </c>
      <c r="Q70" s="134">
        <f t="shared" si="23"/>
        <v>30.520000000000003</v>
      </c>
      <c r="R70" s="133">
        <f t="shared" si="24"/>
        <v>0.46788990825688059</v>
      </c>
      <c r="S70" s="143">
        <f t="shared" si="25"/>
        <v>30.275229357798164</v>
      </c>
      <c r="T70" s="361">
        <v>33</v>
      </c>
      <c r="U70" s="355">
        <f t="shared" si="32"/>
        <v>0.82499999999999996</v>
      </c>
      <c r="V70" s="422"/>
      <c r="W70" s="422"/>
      <c r="X70" s="422"/>
    </row>
    <row r="71" spans="1:24" ht="21.75" hidden="1" thickBot="1">
      <c r="A71" s="144" t="str">
        <f t="shared" si="33"/>
        <v>308-19092025</v>
      </c>
      <c r="B71" s="139" t="s">
        <v>23</v>
      </c>
      <c r="C71" s="138">
        <v>0</v>
      </c>
      <c r="D71" s="384">
        <f t="shared" si="26"/>
        <v>0</v>
      </c>
      <c r="E71" s="322">
        <f t="shared" si="27"/>
        <v>0</v>
      </c>
      <c r="F71" s="322">
        <f t="shared" si="18"/>
        <v>0</v>
      </c>
      <c r="G71" s="330">
        <f t="shared" si="19"/>
        <v>0</v>
      </c>
      <c r="H71" s="322">
        <f t="shared" si="35"/>
        <v>0</v>
      </c>
      <c r="I71" s="322">
        <f t="shared" si="34"/>
        <v>22.972972972972972</v>
      </c>
      <c r="J71" s="326">
        <f t="shared" si="21"/>
        <v>0</v>
      </c>
      <c r="K71" s="149">
        <f t="shared" si="28"/>
        <v>22.972972972972972</v>
      </c>
      <c r="L71" s="298">
        <f t="shared" si="29"/>
        <v>1.9765849866820804</v>
      </c>
      <c r="M71" s="298">
        <f t="shared" si="30"/>
        <v>1.2353656166763001</v>
      </c>
      <c r="N71" s="327">
        <f t="shared" si="31"/>
        <v>15.937499999999998</v>
      </c>
      <c r="O71" s="136">
        <f t="shared" si="22"/>
        <v>6.0392156862745017E-2</v>
      </c>
      <c r="P71" s="134">
        <v>16.899999999999999</v>
      </c>
      <c r="Q71" s="134">
        <f t="shared" si="23"/>
        <v>18.420999999999999</v>
      </c>
      <c r="R71" s="133">
        <f t="shared" si="24"/>
        <v>0.46788990825688082</v>
      </c>
      <c r="S71" s="143">
        <f t="shared" si="25"/>
        <v>23.394495412844034</v>
      </c>
      <c r="T71" s="361">
        <v>25.5</v>
      </c>
      <c r="U71" s="355">
        <f t="shared" si="32"/>
        <v>0.63749999999999996</v>
      </c>
      <c r="V71" s="422"/>
      <c r="W71" s="422"/>
      <c r="X71" s="422"/>
    </row>
    <row r="72" spans="1:24" ht="21.75" thickBot="1">
      <c r="A72" s="144" t="str">
        <f t="shared" si="33"/>
        <v>308-19092025</v>
      </c>
      <c r="B72" s="139" t="s">
        <v>79</v>
      </c>
      <c r="C72" s="138">
        <v>0.1797</v>
      </c>
      <c r="D72" s="384">
        <f t="shared" si="26"/>
        <v>31.501410000000003</v>
      </c>
      <c r="E72" s="322">
        <f t="shared" si="27"/>
        <v>406.40091896499007</v>
      </c>
      <c r="F72" s="322">
        <f t="shared" si="18"/>
        <v>248.92056286605643</v>
      </c>
      <c r="G72" s="330">
        <f t="shared" si="19"/>
        <v>470.68829472988284</v>
      </c>
      <c r="H72" s="322">
        <f t="shared" si="35"/>
        <v>14.94181672280329</v>
      </c>
      <c r="I72" s="322">
        <f t="shared" si="34"/>
        <v>7.130255349268781</v>
      </c>
      <c r="J72" s="326">
        <f t="shared" si="21"/>
        <v>0.47720136590800366</v>
      </c>
      <c r="K72" s="149">
        <f t="shared" si="28"/>
        <v>22.072072072072071</v>
      </c>
      <c r="L72" s="298">
        <f t="shared" si="29"/>
        <v>1.8990718499494497</v>
      </c>
      <c r="M72" s="298">
        <f t="shared" si="30"/>
        <v>1.1869199062184059</v>
      </c>
      <c r="N72" s="327">
        <f t="shared" si="31"/>
        <v>15.312499999999998</v>
      </c>
      <c r="O72" s="136">
        <f t="shared" si="22"/>
        <v>0.30612244897959195</v>
      </c>
      <c r="P72" s="134">
        <v>20</v>
      </c>
      <c r="Q72" s="134">
        <f t="shared" si="23"/>
        <v>21.8</v>
      </c>
      <c r="R72" s="133">
        <f t="shared" si="24"/>
        <v>0.46788990825688082</v>
      </c>
      <c r="S72" s="143">
        <f t="shared" si="25"/>
        <v>22.477064220183486</v>
      </c>
      <c r="T72" s="361">
        <v>24.5</v>
      </c>
      <c r="U72" s="355">
        <f t="shared" si="32"/>
        <v>0.61250000000000004</v>
      </c>
      <c r="V72" s="422"/>
      <c r="W72" s="422"/>
      <c r="X72" s="422"/>
    </row>
    <row r="73" spans="1:24" ht="21.75" hidden="1" thickBot="1">
      <c r="A73" s="144" t="str">
        <f t="shared" si="33"/>
        <v>308-19092025</v>
      </c>
      <c r="B73" s="139" t="s">
        <v>21</v>
      </c>
      <c r="C73" s="138">
        <v>0</v>
      </c>
      <c r="D73" s="384">
        <f t="shared" si="26"/>
        <v>0</v>
      </c>
      <c r="E73" s="322">
        <f t="shared" si="27"/>
        <v>0</v>
      </c>
      <c r="F73" s="322">
        <f t="shared" si="18"/>
        <v>0</v>
      </c>
      <c r="G73" s="330">
        <f t="shared" si="19"/>
        <v>0</v>
      </c>
      <c r="H73" s="322">
        <f t="shared" si="35"/>
        <v>0</v>
      </c>
      <c r="I73" s="322">
        <f t="shared" si="34"/>
        <v>23.423423423423422</v>
      </c>
      <c r="J73" s="326">
        <f t="shared" si="21"/>
        <v>0</v>
      </c>
      <c r="K73" s="149">
        <f t="shared" si="28"/>
        <v>23.423423423423422</v>
      </c>
      <c r="L73" s="298">
        <f t="shared" si="29"/>
        <v>2.0153415550483955</v>
      </c>
      <c r="M73" s="298">
        <f t="shared" si="30"/>
        <v>1.259588471905247</v>
      </c>
      <c r="N73" s="327">
        <f t="shared" si="31"/>
        <v>16.249999999999996</v>
      </c>
      <c r="O73" s="136">
        <f t="shared" si="22"/>
        <v>0.2923076923076926</v>
      </c>
      <c r="P73" s="134">
        <v>21</v>
      </c>
      <c r="Q73" s="134">
        <f t="shared" si="23"/>
        <v>22.89</v>
      </c>
      <c r="R73" s="133">
        <f t="shared" si="24"/>
        <v>0.46788990825688082</v>
      </c>
      <c r="S73" s="143">
        <f t="shared" si="25"/>
        <v>23.853211009174309</v>
      </c>
      <c r="T73" s="361">
        <v>26</v>
      </c>
      <c r="U73" s="355">
        <f t="shared" si="32"/>
        <v>0.65</v>
      </c>
      <c r="V73" s="422"/>
      <c r="W73" s="422"/>
      <c r="X73" s="422"/>
    </row>
    <row r="74" spans="1:24" ht="21.75" hidden="1" thickBot="1">
      <c r="A74" s="144" t="str">
        <f t="shared" si="33"/>
        <v>308-19092025</v>
      </c>
      <c r="B74" s="139" t="s">
        <v>20</v>
      </c>
      <c r="C74" s="138">
        <v>0</v>
      </c>
      <c r="D74" s="384">
        <f t="shared" si="26"/>
        <v>0</v>
      </c>
      <c r="E74" s="322">
        <f t="shared" si="27"/>
        <v>0</v>
      </c>
      <c r="F74" s="322">
        <f t="shared" si="18"/>
        <v>0</v>
      </c>
      <c r="G74" s="330">
        <f t="shared" si="19"/>
        <v>0</v>
      </c>
      <c r="H74" s="322">
        <f t="shared" si="35"/>
        <v>0</v>
      </c>
      <c r="I74" s="322">
        <f t="shared" si="34"/>
        <v>24.774774774774773</v>
      </c>
      <c r="J74" s="326">
        <f t="shared" si="21"/>
        <v>0</v>
      </c>
      <c r="K74" s="149">
        <f t="shared" si="28"/>
        <v>24.774774774774773</v>
      </c>
      <c r="L74" s="298">
        <f t="shared" si="29"/>
        <v>2.1316112601473414</v>
      </c>
      <c r="M74" s="298">
        <f t="shared" si="30"/>
        <v>1.3322570375920884</v>
      </c>
      <c r="N74" s="327">
        <f t="shared" si="31"/>
        <v>17.1875</v>
      </c>
      <c r="O74" s="136">
        <f t="shared" si="22"/>
        <v>0.25090909090909097</v>
      </c>
      <c r="P74" s="134">
        <v>21.5</v>
      </c>
      <c r="Q74" s="134">
        <f t="shared" si="23"/>
        <v>23.435000000000002</v>
      </c>
      <c r="R74" s="133">
        <f t="shared" si="24"/>
        <v>0.46788990825688059</v>
      </c>
      <c r="S74" s="143">
        <f t="shared" si="25"/>
        <v>25.229357798165136</v>
      </c>
      <c r="T74" s="361">
        <v>27.5</v>
      </c>
      <c r="U74" s="355">
        <f t="shared" si="32"/>
        <v>0.6875</v>
      </c>
      <c r="V74" s="422"/>
      <c r="W74" s="422"/>
      <c r="X74" s="422"/>
    </row>
    <row r="75" spans="1:24" ht="21.75" thickBot="1">
      <c r="A75" s="144" t="str">
        <f t="shared" si="33"/>
        <v>308-19092025</v>
      </c>
      <c r="B75" s="139" t="s">
        <v>80</v>
      </c>
      <c r="C75" s="138">
        <v>0.2326</v>
      </c>
      <c r="D75" s="384">
        <f t="shared" si="26"/>
        <v>40.77478</v>
      </c>
      <c r="E75" s="322">
        <f t="shared" si="27"/>
        <v>526.03702699642008</v>
      </c>
      <c r="F75" s="322">
        <f t="shared" si="18"/>
        <v>276.16943917312057</v>
      </c>
      <c r="G75" s="330">
        <f t="shared" si="19"/>
        <v>522.21367686225017</v>
      </c>
      <c r="H75" s="322">
        <f t="shared" si="35"/>
        <v>12.807271476688536</v>
      </c>
      <c r="I75" s="322">
        <f t="shared" si="34"/>
        <v>6.1116474422303799</v>
      </c>
      <c r="J75" s="326">
        <f t="shared" si="21"/>
        <v>0.47720136590800333</v>
      </c>
      <c r="K75" s="149">
        <f t="shared" si="28"/>
        <v>18.918918918918916</v>
      </c>
      <c r="L75" s="298">
        <f t="shared" si="29"/>
        <v>1.6277758713852426</v>
      </c>
      <c r="M75" s="298">
        <f t="shared" si="30"/>
        <v>1.0173599196157765</v>
      </c>
      <c r="N75" s="327">
        <f t="shared" si="31"/>
        <v>13.124999999999998</v>
      </c>
      <c r="O75" s="136">
        <f t="shared" si="22"/>
        <v>0.37142857142857166</v>
      </c>
      <c r="P75" s="134">
        <v>18</v>
      </c>
      <c r="Q75" s="134">
        <f t="shared" si="23"/>
        <v>19.62</v>
      </c>
      <c r="R75" s="133">
        <f t="shared" si="24"/>
        <v>0.46788990825688082</v>
      </c>
      <c r="S75" s="143">
        <f t="shared" si="25"/>
        <v>19.266055045871557</v>
      </c>
      <c r="T75" s="361">
        <v>21</v>
      </c>
      <c r="U75" s="355">
        <f t="shared" si="32"/>
        <v>0.52500000000000002</v>
      </c>
      <c r="V75" s="422"/>
      <c r="W75" s="422"/>
      <c r="X75" s="422"/>
    </row>
    <row r="76" spans="1:24" ht="21.75" hidden="1" thickBot="1">
      <c r="A76" s="144" t="str">
        <f t="shared" si="33"/>
        <v>308-19092025</v>
      </c>
      <c r="B76" s="139" t="s">
        <v>18</v>
      </c>
      <c r="C76" s="138">
        <v>0</v>
      </c>
      <c r="D76" s="384">
        <f t="shared" si="26"/>
        <v>0</v>
      </c>
      <c r="E76" s="322">
        <f t="shared" si="27"/>
        <v>0</v>
      </c>
      <c r="F76" s="322">
        <f t="shared" si="18"/>
        <v>0</v>
      </c>
      <c r="G76" s="330">
        <f t="shared" si="19"/>
        <v>0</v>
      </c>
      <c r="H76" s="322">
        <f t="shared" si="35"/>
        <v>0</v>
      </c>
      <c r="I76" s="322">
        <f t="shared" si="34"/>
        <v>22.072072072072071</v>
      </c>
      <c r="J76" s="326">
        <f t="shared" si="21"/>
        <v>0</v>
      </c>
      <c r="K76" s="149">
        <f t="shared" si="28"/>
        <v>22.072072072072071</v>
      </c>
      <c r="L76" s="298">
        <f t="shared" si="29"/>
        <v>1.8990718499494497</v>
      </c>
      <c r="M76" s="298">
        <f t="shared" si="30"/>
        <v>1.1869199062184059</v>
      </c>
      <c r="N76" s="327">
        <f t="shared" si="31"/>
        <v>15.312499999999998</v>
      </c>
      <c r="O76" s="136">
        <f t="shared" si="22"/>
        <v>0.17551020408163276</v>
      </c>
      <c r="P76" s="134">
        <v>18</v>
      </c>
      <c r="Q76" s="134">
        <f t="shared" si="23"/>
        <v>19.62</v>
      </c>
      <c r="R76" s="133">
        <f t="shared" si="24"/>
        <v>0.46788990825688082</v>
      </c>
      <c r="S76" s="143">
        <f t="shared" si="25"/>
        <v>22.477064220183486</v>
      </c>
      <c r="T76" s="361">
        <v>24.5</v>
      </c>
      <c r="U76" s="355">
        <f t="shared" si="32"/>
        <v>0.61250000000000004</v>
      </c>
      <c r="V76" s="422"/>
      <c r="W76" s="422"/>
      <c r="X76" s="422"/>
    </row>
    <row r="77" spans="1:24" ht="21.75" thickBot="1">
      <c r="A77" s="144" t="str">
        <f t="shared" si="33"/>
        <v>308-19092025</v>
      </c>
      <c r="B77" s="146" t="s">
        <v>81</v>
      </c>
      <c r="C77" s="138">
        <v>4.58E-2</v>
      </c>
      <c r="D77" s="384">
        <f t="shared" si="26"/>
        <v>8.0287400000000009</v>
      </c>
      <c r="E77" s="322">
        <f t="shared" si="27"/>
        <v>103.57908786086001</v>
      </c>
      <c r="F77" s="322">
        <f t="shared" si="18"/>
        <v>20.715817572172003</v>
      </c>
      <c r="G77" s="330">
        <f t="shared" si="19"/>
        <v>39.171905826951736</v>
      </c>
      <c r="H77" s="322">
        <f t="shared" si="35"/>
        <v>4.8789605625480128</v>
      </c>
      <c r="I77" s="322">
        <f t="shared" si="34"/>
        <v>2.3282466446591936</v>
      </c>
      <c r="J77" s="326">
        <f t="shared" si="21"/>
        <v>0.47720136590800366</v>
      </c>
      <c r="K77" s="149">
        <f t="shared" si="28"/>
        <v>7.2072072072072064</v>
      </c>
      <c r="L77" s="298">
        <f t="shared" si="29"/>
        <v>0.62010509386104484</v>
      </c>
      <c r="M77" s="298">
        <f t="shared" si="30"/>
        <v>0.38756568366315303</v>
      </c>
      <c r="N77" s="327">
        <f>M77*$N$10</f>
        <v>5</v>
      </c>
      <c r="O77" s="136">
        <f t="shared" si="22"/>
        <v>0.35999999999999988</v>
      </c>
      <c r="P77" s="134">
        <v>6.8</v>
      </c>
      <c r="Q77" s="134">
        <f t="shared" si="23"/>
        <v>7.4119999999999999</v>
      </c>
      <c r="R77" s="133">
        <f t="shared" si="24"/>
        <v>0.46788990825688059</v>
      </c>
      <c r="S77" s="143">
        <f t="shared" si="25"/>
        <v>7.3394495412844032</v>
      </c>
      <c r="T77" s="361">
        <v>8</v>
      </c>
      <c r="U77" s="355">
        <f t="shared" si="32"/>
        <v>0.2</v>
      </c>
      <c r="V77" s="422"/>
      <c r="W77" s="422"/>
      <c r="X77" s="422"/>
    </row>
    <row r="78" spans="1:24" ht="21.75" thickBot="1">
      <c r="A78" s="144" t="str">
        <f t="shared" si="33"/>
        <v>308-19092025</v>
      </c>
      <c r="B78" s="146" t="s">
        <v>82</v>
      </c>
      <c r="C78" s="138">
        <v>3.61E-2</v>
      </c>
      <c r="D78" s="384">
        <f t="shared" si="26"/>
        <v>6.3283300000000002</v>
      </c>
      <c r="E78" s="322">
        <f t="shared" si="27"/>
        <v>81.642032134870007</v>
      </c>
      <c r="F78" s="322">
        <f t="shared" si="18"/>
        <v>24.492609640461001</v>
      </c>
      <c r="G78" s="330">
        <f t="shared" si="19"/>
        <v>46.313508745184194</v>
      </c>
      <c r="H78" s="322">
        <f t="shared" si="35"/>
        <v>7.3184408438220183</v>
      </c>
      <c r="I78" s="322">
        <f t="shared" si="34"/>
        <v>3.4923699669887922</v>
      </c>
      <c r="J78" s="326">
        <f t="shared" si="21"/>
        <v>0.47720136590800394</v>
      </c>
      <c r="K78" s="149">
        <f t="shared" si="28"/>
        <v>10.810810810810811</v>
      </c>
      <c r="L78" s="298">
        <f t="shared" si="29"/>
        <v>0.93015764079156715</v>
      </c>
      <c r="M78" s="298">
        <f t="shared" si="30"/>
        <v>0.58134852549472948</v>
      </c>
      <c r="N78" s="327">
        <f t="shared" ref="N78:N87" si="36">M78*$N$10</f>
        <v>7.5</v>
      </c>
      <c r="O78" s="136">
        <f t="shared" si="22"/>
        <v>0.33333333333333326</v>
      </c>
      <c r="P78" s="134">
        <v>10</v>
      </c>
      <c r="Q78" s="134">
        <f t="shared" si="23"/>
        <v>10.9</v>
      </c>
      <c r="R78" s="133">
        <f t="shared" si="24"/>
        <v>0.46788990825688059</v>
      </c>
      <c r="S78" s="143">
        <f t="shared" si="25"/>
        <v>11.009174311926605</v>
      </c>
      <c r="T78" s="361">
        <v>12</v>
      </c>
      <c r="U78" s="355">
        <f t="shared" si="32"/>
        <v>0.3</v>
      </c>
      <c r="V78" s="422"/>
      <c r="W78" s="422"/>
      <c r="X78" s="422"/>
    </row>
    <row r="79" spans="1:24" ht="21.75" hidden="1" thickBot="1">
      <c r="A79" s="144" t="str">
        <f t="shared" si="33"/>
        <v>308-19092025</v>
      </c>
      <c r="B79" s="146" t="s">
        <v>15</v>
      </c>
      <c r="C79" s="138">
        <v>0</v>
      </c>
      <c r="D79" s="384">
        <f t="shared" si="26"/>
        <v>0</v>
      </c>
      <c r="E79" s="322">
        <f t="shared" si="27"/>
        <v>0</v>
      </c>
      <c r="F79" s="322">
        <f t="shared" si="18"/>
        <v>0</v>
      </c>
      <c r="G79" s="330">
        <f t="shared" si="19"/>
        <v>0</v>
      </c>
      <c r="H79" s="322">
        <f t="shared" si="35"/>
        <v>0</v>
      </c>
      <c r="I79" s="322">
        <f t="shared" si="34"/>
        <v>13.513513513513512</v>
      </c>
      <c r="J79" s="326">
        <f t="shared" si="21"/>
        <v>0</v>
      </c>
      <c r="K79" s="149">
        <f t="shared" si="28"/>
        <v>13.513513513513512</v>
      </c>
      <c r="L79" s="298">
        <f t="shared" si="29"/>
        <v>1.162697050989459</v>
      </c>
      <c r="M79" s="298">
        <f t="shared" si="30"/>
        <v>0.7266856568684118</v>
      </c>
      <c r="N79" s="327">
        <f t="shared" si="36"/>
        <v>9.3749999999999982</v>
      </c>
      <c r="O79" s="136">
        <f t="shared" si="22"/>
        <v>0.28000000000000025</v>
      </c>
      <c r="P79" s="134">
        <v>12</v>
      </c>
      <c r="Q79" s="134">
        <f t="shared" si="23"/>
        <v>13.080000000000002</v>
      </c>
      <c r="R79" s="133">
        <f t="shared" si="24"/>
        <v>0.46788990825688082</v>
      </c>
      <c r="S79" s="143">
        <f t="shared" si="25"/>
        <v>13.761467889908255</v>
      </c>
      <c r="T79" s="361">
        <v>15</v>
      </c>
      <c r="U79" s="355">
        <f t="shared" si="32"/>
        <v>0.375</v>
      </c>
      <c r="V79" s="422"/>
      <c r="W79" s="422"/>
      <c r="X79" s="422"/>
    </row>
    <row r="80" spans="1:24" ht="21.75" thickBot="1">
      <c r="A80" s="144" t="str">
        <f t="shared" si="33"/>
        <v>308-19092025</v>
      </c>
      <c r="B80" s="146" t="s">
        <v>83</v>
      </c>
      <c r="C80" s="138">
        <v>3.5200000000000002E-2</v>
      </c>
      <c r="D80" s="384">
        <f t="shared" si="26"/>
        <v>6.1705600000000009</v>
      </c>
      <c r="E80" s="322">
        <f t="shared" si="27"/>
        <v>79.606635211840015</v>
      </c>
      <c r="F80" s="322">
        <f t="shared" si="18"/>
        <v>23.881990563552005</v>
      </c>
      <c r="G80" s="330">
        <f t="shared" si="19"/>
        <v>45.158878333254407</v>
      </c>
      <c r="H80" s="322">
        <f t="shared" si="35"/>
        <v>7.3184408438220192</v>
      </c>
      <c r="I80" s="322">
        <f t="shared" si="34"/>
        <v>3.4923699669887913</v>
      </c>
      <c r="J80" s="326">
        <f t="shared" si="21"/>
        <v>0.47720136590800377</v>
      </c>
      <c r="K80" s="149">
        <f t="shared" si="28"/>
        <v>10.810810810810811</v>
      </c>
      <c r="L80" s="298">
        <f t="shared" si="29"/>
        <v>0.93015764079156715</v>
      </c>
      <c r="M80" s="298">
        <f t="shared" si="30"/>
        <v>0.58134852549472948</v>
      </c>
      <c r="N80" s="327">
        <f t="shared" si="36"/>
        <v>7.5</v>
      </c>
      <c r="O80" s="136">
        <f t="shared" si="22"/>
        <v>0.46666666666666656</v>
      </c>
      <c r="P80" s="134">
        <v>11</v>
      </c>
      <c r="Q80" s="134">
        <f t="shared" si="23"/>
        <v>11.99</v>
      </c>
      <c r="R80" s="133">
        <f t="shared" si="24"/>
        <v>0.46788990825688059</v>
      </c>
      <c r="S80" s="143">
        <f t="shared" si="25"/>
        <v>11.009174311926605</v>
      </c>
      <c r="T80" s="361">
        <v>12</v>
      </c>
      <c r="U80" s="355">
        <f t="shared" si="32"/>
        <v>0.3</v>
      </c>
      <c r="V80" s="422"/>
      <c r="W80" s="422"/>
      <c r="X80" s="422"/>
    </row>
    <row r="81" spans="1:24" ht="21.75" thickBot="1">
      <c r="A81" s="144" t="str">
        <f t="shared" si="33"/>
        <v>308-19092025</v>
      </c>
      <c r="B81" s="146" t="s">
        <v>13</v>
      </c>
      <c r="C81" s="138">
        <v>8.8000000000000005E-3</v>
      </c>
      <c r="D81" s="384">
        <f t="shared" si="26"/>
        <v>1.5426400000000002</v>
      </c>
      <c r="E81" s="322">
        <f t="shared" si="27"/>
        <v>19.901658802960004</v>
      </c>
      <c r="F81" s="322">
        <f t="shared" si="18"/>
        <v>5.9704976408880013</v>
      </c>
      <c r="G81" s="330">
        <f t="shared" si="19"/>
        <v>11.289719583313602</v>
      </c>
      <c r="H81" s="322">
        <f t="shared" si="35"/>
        <v>7.3184408438220192</v>
      </c>
      <c r="I81" s="322">
        <f t="shared" si="34"/>
        <v>3.4923699669887913</v>
      </c>
      <c r="J81" s="326">
        <f t="shared" si="21"/>
        <v>0.47720136590800377</v>
      </c>
      <c r="K81" s="149">
        <f t="shared" si="28"/>
        <v>10.810810810810811</v>
      </c>
      <c r="L81" s="298">
        <f t="shared" si="29"/>
        <v>0.93015764079156715</v>
      </c>
      <c r="M81" s="298">
        <f t="shared" si="30"/>
        <v>0.58134852549472948</v>
      </c>
      <c r="N81" s="327">
        <f t="shared" si="36"/>
        <v>7.5</v>
      </c>
      <c r="O81" s="136">
        <f t="shared" si="22"/>
        <v>0.46666666666666656</v>
      </c>
      <c r="P81" s="134">
        <v>11</v>
      </c>
      <c r="Q81" s="134">
        <f t="shared" si="23"/>
        <v>11.99</v>
      </c>
      <c r="R81" s="133">
        <f t="shared" si="24"/>
        <v>0.46788990825688059</v>
      </c>
      <c r="S81" s="143">
        <f t="shared" si="25"/>
        <v>11.009174311926605</v>
      </c>
      <c r="T81" s="361">
        <v>12</v>
      </c>
      <c r="U81" s="355">
        <f t="shared" si="32"/>
        <v>0.3</v>
      </c>
      <c r="V81" s="422"/>
      <c r="W81" s="422"/>
      <c r="X81" s="422"/>
    </row>
    <row r="82" spans="1:24" ht="21.75" thickBot="1">
      <c r="A82" s="144" t="str">
        <f t="shared" si="33"/>
        <v>308-19092025</v>
      </c>
      <c r="B82" s="139" t="s">
        <v>84</v>
      </c>
      <c r="C82" s="138">
        <v>1.06E-2</v>
      </c>
      <c r="D82" s="384">
        <f t="shared" si="26"/>
        <v>1.8581800000000002</v>
      </c>
      <c r="E82" s="322">
        <f t="shared" si="27"/>
        <v>23.972452649020003</v>
      </c>
      <c r="F82" s="322">
        <f t="shared" si="18"/>
        <v>23.972452649020003</v>
      </c>
      <c r="G82" s="330">
        <f t="shared" si="19"/>
        <v>45.329934690577332</v>
      </c>
      <c r="H82" s="322">
        <f t="shared" si="35"/>
        <v>24.39480281274006</v>
      </c>
      <c r="I82" s="322">
        <f t="shared" si="34"/>
        <v>11.64123322329597</v>
      </c>
      <c r="J82" s="326">
        <f t="shared" si="21"/>
        <v>0.47720136590800377</v>
      </c>
      <c r="K82" s="149">
        <f t="shared" si="28"/>
        <v>36.03603603603603</v>
      </c>
      <c r="L82" s="298">
        <f t="shared" si="29"/>
        <v>3.1005254693052238</v>
      </c>
      <c r="M82" s="298">
        <f t="shared" si="30"/>
        <v>1.9378284183157648</v>
      </c>
      <c r="N82" s="327">
        <f t="shared" si="36"/>
        <v>24.999999999999996</v>
      </c>
      <c r="O82" s="136">
        <f t="shared" si="22"/>
        <v>0.20000000000000018</v>
      </c>
      <c r="P82" s="134">
        <v>30</v>
      </c>
      <c r="Q82" s="134">
        <f t="shared" si="23"/>
        <v>32.700000000000003</v>
      </c>
      <c r="R82" s="133">
        <f t="shared" si="24"/>
        <v>0.46788990825688104</v>
      </c>
      <c r="S82" s="143">
        <f t="shared" si="25"/>
        <v>36.697247706422019</v>
      </c>
      <c r="T82" s="361">
        <v>40</v>
      </c>
      <c r="U82" s="355">
        <f t="shared" si="32"/>
        <v>1</v>
      </c>
      <c r="V82" s="422"/>
      <c r="W82" s="422"/>
      <c r="X82" s="422"/>
    </row>
    <row r="83" spans="1:24" ht="21.75" hidden="1" thickBot="1">
      <c r="A83" s="144" t="str">
        <f t="shared" si="33"/>
        <v>308-19092025</v>
      </c>
      <c r="B83" s="139" t="s">
        <v>11</v>
      </c>
      <c r="C83" s="138">
        <v>0</v>
      </c>
      <c r="D83" s="384">
        <f t="shared" si="26"/>
        <v>0</v>
      </c>
      <c r="E83" s="322">
        <f t="shared" si="27"/>
        <v>0</v>
      </c>
      <c r="F83" s="322">
        <f t="shared" si="18"/>
        <v>0</v>
      </c>
      <c r="G83" s="330">
        <f t="shared" si="19"/>
        <v>0</v>
      </c>
      <c r="H83" s="322">
        <f t="shared" si="35"/>
        <v>0</v>
      </c>
      <c r="I83" s="322">
        <f t="shared" si="34"/>
        <v>23.423423423423422</v>
      </c>
      <c r="J83" s="326">
        <f t="shared" si="21"/>
        <v>0</v>
      </c>
      <c r="K83" s="149">
        <f t="shared" si="28"/>
        <v>23.423423423423422</v>
      </c>
      <c r="L83" s="298">
        <f t="shared" si="29"/>
        <v>2.0153415550483955</v>
      </c>
      <c r="M83" s="298">
        <f t="shared" si="30"/>
        <v>1.259588471905247</v>
      </c>
      <c r="N83" s="327">
        <f t="shared" si="36"/>
        <v>16.249999999999996</v>
      </c>
      <c r="O83" s="136">
        <f t="shared" si="22"/>
        <v>0.16923076923076952</v>
      </c>
      <c r="P83" s="134">
        <v>19</v>
      </c>
      <c r="Q83" s="134">
        <f t="shared" si="23"/>
        <v>20.71</v>
      </c>
      <c r="R83" s="133">
        <f t="shared" si="24"/>
        <v>0.46788990825688082</v>
      </c>
      <c r="S83" s="143">
        <f t="shared" si="25"/>
        <v>23.853211009174309</v>
      </c>
      <c r="T83" s="361">
        <v>26</v>
      </c>
      <c r="U83" s="355">
        <f t="shared" si="32"/>
        <v>0.65</v>
      </c>
      <c r="V83" s="422"/>
      <c r="W83" s="422"/>
      <c r="X83" s="422"/>
    </row>
    <row r="84" spans="1:24" ht="21.75" hidden="1" thickBot="1">
      <c r="A84" s="144" t="str">
        <f t="shared" si="33"/>
        <v>308-19092025</v>
      </c>
      <c r="B84" s="139" t="s">
        <v>10</v>
      </c>
      <c r="C84" s="138">
        <v>0</v>
      </c>
      <c r="D84" s="384">
        <f t="shared" si="26"/>
        <v>0</v>
      </c>
      <c r="E84" s="322">
        <f t="shared" si="27"/>
        <v>0</v>
      </c>
      <c r="F84" s="322">
        <f t="shared" si="18"/>
        <v>0</v>
      </c>
      <c r="G84" s="330">
        <f t="shared" si="19"/>
        <v>0</v>
      </c>
      <c r="H84" s="322">
        <f t="shared" si="35"/>
        <v>0</v>
      </c>
      <c r="I84" s="322">
        <f t="shared" si="34"/>
        <v>22.072072072072071</v>
      </c>
      <c r="J84" s="326">
        <f t="shared" si="21"/>
        <v>0</v>
      </c>
      <c r="K84" s="149">
        <f t="shared" si="28"/>
        <v>22.072072072072071</v>
      </c>
      <c r="L84" s="298">
        <f t="shared" si="29"/>
        <v>1.8990718499494497</v>
      </c>
      <c r="M84" s="298">
        <f t="shared" si="30"/>
        <v>1.1869199062184059</v>
      </c>
      <c r="N84" s="327">
        <f t="shared" si="36"/>
        <v>15.312499999999998</v>
      </c>
      <c r="O84" s="136">
        <f t="shared" si="22"/>
        <v>0.17551020408163276</v>
      </c>
      <c r="P84" s="134">
        <v>18</v>
      </c>
      <c r="Q84" s="134">
        <f t="shared" si="23"/>
        <v>19.62</v>
      </c>
      <c r="R84" s="133">
        <f t="shared" si="24"/>
        <v>0.46788990825688082</v>
      </c>
      <c r="S84" s="143">
        <f t="shared" si="25"/>
        <v>22.477064220183486</v>
      </c>
      <c r="T84" s="361">
        <v>24.5</v>
      </c>
      <c r="U84" s="355">
        <f t="shared" si="32"/>
        <v>0.61250000000000004</v>
      </c>
      <c r="V84" s="422"/>
      <c r="W84" s="422"/>
      <c r="X84" s="422"/>
    </row>
    <row r="85" spans="1:24" ht="21.75" hidden="1" thickBot="1">
      <c r="A85" s="144" t="str">
        <f t="shared" si="33"/>
        <v>308-19092025</v>
      </c>
      <c r="B85" s="139" t="s">
        <v>9</v>
      </c>
      <c r="C85" s="138">
        <v>0</v>
      </c>
      <c r="D85" s="384">
        <f t="shared" si="26"/>
        <v>0</v>
      </c>
      <c r="E85" s="322">
        <f t="shared" si="27"/>
        <v>0</v>
      </c>
      <c r="F85" s="322">
        <f t="shared" si="18"/>
        <v>0</v>
      </c>
      <c r="G85" s="330">
        <f t="shared" si="19"/>
        <v>0</v>
      </c>
      <c r="H85" s="322">
        <f t="shared" si="35"/>
        <v>0</v>
      </c>
      <c r="I85" s="322">
        <f t="shared" si="34"/>
        <v>22.522522522522522</v>
      </c>
      <c r="J85" s="326">
        <f t="shared" si="21"/>
        <v>0</v>
      </c>
      <c r="K85" s="149">
        <f t="shared" si="28"/>
        <v>22.522522522522522</v>
      </c>
      <c r="L85" s="298">
        <f t="shared" si="29"/>
        <v>1.937828418315765</v>
      </c>
      <c r="M85" s="298">
        <f t="shared" si="30"/>
        <v>1.2111427614473531</v>
      </c>
      <c r="N85" s="327">
        <f t="shared" si="36"/>
        <v>15.625</v>
      </c>
      <c r="O85" s="136">
        <f t="shared" si="22"/>
        <v>0.18399999999999994</v>
      </c>
      <c r="P85" s="134">
        <v>18.5</v>
      </c>
      <c r="Q85" s="134">
        <f t="shared" si="23"/>
        <v>20.165000000000003</v>
      </c>
      <c r="R85" s="133">
        <f t="shared" si="24"/>
        <v>0.46788990825688059</v>
      </c>
      <c r="S85" s="143">
        <f t="shared" si="25"/>
        <v>22.935779816513758</v>
      </c>
      <c r="T85" s="361">
        <v>25</v>
      </c>
      <c r="U85" s="355">
        <f t="shared" si="32"/>
        <v>0.625</v>
      </c>
      <c r="V85" s="422"/>
      <c r="W85" s="422"/>
      <c r="X85" s="422"/>
    </row>
    <row r="86" spans="1:24" ht="21.75" thickBot="1">
      <c r="A86" s="144" t="str">
        <f t="shared" si="33"/>
        <v>308-19092025</v>
      </c>
      <c r="B86" s="139" t="s">
        <v>8</v>
      </c>
      <c r="C86" s="138">
        <v>4.41E-2</v>
      </c>
      <c r="D86" s="384">
        <f t="shared" si="26"/>
        <v>7.7307300000000003</v>
      </c>
      <c r="E86" s="322">
        <f t="shared" si="27"/>
        <v>99.734449228470012</v>
      </c>
      <c r="F86" s="322">
        <f t="shared" si="18"/>
        <v>4.9867224614235006</v>
      </c>
      <c r="G86" s="330">
        <f t="shared" si="19"/>
        <v>9.4294816974267004</v>
      </c>
      <c r="H86" s="322">
        <f t="shared" si="35"/>
        <v>1.2197401406370032</v>
      </c>
      <c r="I86" s="322">
        <f t="shared" si="34"/>
        <v>0.58206166116479841</v>
      </c>
      <c r="J86" s="326">
        <f t="shared" si="21"/>
        <v>0.47720136590800366</v>
      </c>
      <c r="K86" s="149">
        <f t="shared" si="28"/>
        <v>1.8018018018018016</v>
      </c>
      <c r="L86" s="298">
        <f t="shared" si="29"/>
        <v>0.15502627346526121</v>
      </c>
      <c r="M86" s="298">
        <f t="shared" si="30"/>
        <v>9.6891420915788257E-2</v>
      </c>
      <c r="N86" s="327">
        <f t="shared" si="36"/>
        <v>1.25</v>
      </c>
      <c r="O86" s="136">
        <f>(P86/(N86))-1</f>
        <v>0.43999999999999995</v>
      </c>
      <c r="P86" s="134">
        <v>1.8</v>
      </c>
      <c r="Q86" s="134">
        <f t="shared" si="23"/>
        <v>1.9620000000000002</v>
      </c>
      <c r="R86" s="133">
        <f t="shared" si="24"/>
        <v>0.46788990825688059</v>
      </c>
      <c r="S86" s="143">
        <f t="shared" si="25"/>
        <v>1.8348623853211008</v>
      </c>
      <c r="T86" s="361">
        <v>2</v>
      </c>
      <c r="U86" s="355">
        <f t="shared" si="32"/>
        <v>0.05</v>
      </c>
      <c r="V86" s="422"/>
      <c r="W86" s="422"/>
      <c r="X86" s="422"/>
    </row>
    <row r="87" spans="1:24" ht="21.75" thickBot="1">
      <c r="A87" s="140"/>
      <c r="B87" s="139" t="s">
        <v>7</v>
      </c>
      <c r="C87" s="138">
        <v>2.8E-3</v>
      </c>
      <c r="D87" s="384">
        <f t="shared" si="26"/>
        <v>0.49084000000000005</v>
      </c>
      <c r="E87" s="322">
        <f t="shared" si="27"/>
        <v>6.3323459827600015</v>
      </c>
      <c r="F87" s="322">
        <f t="shared" si="18"/>
        <v>0</v>
      </c>
      <c r="G87" s="330">
        <f t="shared" si="19"/>
        <v>0</v>
      </c>
      <c r="H87" s="322">
        <f t="shared" si="35"/>
        <v>0</v>
      </c>
      <c r="I87" s="322">
        <f t="shared" si="34"/>
        <v>0</v>
      </c>
      <c r="J87" s="326">
        <f t="shared" si="21"/>
        <v>0</v>
      </c>
      <c r="K87" s="326"/>
      <c r="L87" s="298">
        <f t="shared" si="29"/>
        <v>0</v>
      </c>
      <c r="M87" s="298">
        <f t="shared" si="30"/>
        <v>0</v>
      </c>
      <c r="N87" s="327">
        <f t="shared" si="36"/>
        <v>0</v>
      </c>
      <c r="O87" s="136"/>
      <c r="P87" s="135">
        <v>0</v>
      </c>
      <c r="Q87" s="134">
        <f t="shared" si="23"/>
        <v>0</v>
      </c>
      <c r="R87" s="133"/>
      <c r="S87" s="132"/>
      <c r="T87" s="362"/>
      <c r="U87" s="356"/>
      <c r="V87" s="422"/>
      <c r="W87" s="422"/>
      <c r="X87" s="422"/>
    </row>
    <row r="88" spans="1:24" ht="21.75" thickBot="1">
      <c r="A88" s="128"/>
      <c r="B88" s="173" t="s">
        <v>108</v>
      </c>
      <c r="C88" s="267">
        <f>SUM(C60:C87)</f>
        <v>1</v>
      </c>
      <c r="D88" s="126">
        <f>SUM(D60:D87)</f>
        <v>175.29999999999998</v>
      </c>
      <c r="E88" s="363">
        <f>SUM(E60:E87)</f>
        <v>2261.5521367000006</v>
      </c>
      <c r="F88" s="363">
        <f>SUM(F60:F87)</f>
        <v>1196.007712792941</v>
      </c>
      <c r="G88" s="363">
        <f>SUM(G60:G87)</f>
        <v>2261.552136700001</v>
      </c>
      <c r="H88" s="364">
        <f>SUMPRODUCT(D60:D87,H60:H87)</f>
        <v>2261.552136700001</v>
      </c>
      <c r="I88" s="364">
        <f t="shared" si="34"/>
        <v>1079.2157687054046</v>
      </c>
      <c r="J88" s="365">
        <f t="shared" si="21"/>
        <v>0.47720136590800361</v>
      </c>
      <c r="K88" s="364">
        <f>T88/1.11</f>
        <v>3340.7679054054056</v>
      </c>
      <c r="L88" s="366">
        <f>T88/$N$10</f>
        <v>287.43827338247718</v>
      </c>
      <c r="M88" s="366">
        <f t="shared" si="30"/>
        <v>179.64892086404822</v>
      </c>
      <c r="N88" s="367">
        <f>SUMPRODUCT(D60:D87,N60:N87)</f>
        <v>2317.6577343749996</v>
      </c>
      <c r="O88" s="125"/>
      <c r="P88" s="124">
        <f>SUMPRODUCT($D$13:$D$40,$P$13:$P$40)</f>
        <v>1698.446594</v>
      </c>
      <c r="Q88" s="124">
        <f>SUMPRODUCT($D$13:$D$40,$Q$13:$Q$40)</f>
        <v>1851.3067874600001</v>
      </c>
      <c r="R88" s="123"/>
      <c r="S88" s="122">
        <f>SUMPRODUCT(D60:D87,S60:S87)</f>
        <v>3402.0663990825692</v>
      </c>
      <c r="T88" s="368">
        <f>SUMPRODUCT(D60:D87,T60:T87)</f>
        <v>3708.2523750000005</v>
      </c>
      <c r="U88" s="357"/>
      <c r="V88" s="422"/>
      <c r="W88" s="422"/>
      <c r="X88" s="422"/>
    </row>
    <row r="89" spans="1:24">
      <c r="A89" s="65"/>
      <c r="B89" s="65" t="s">
        <v>6</v>
      </c>
      <c r="C89" s="114" t="s">
        <v>5</v>
      </c>
      <c r="D89" s="119"/>
      <c r="E89" s="119"/>
      <c r="F89" s="331">
        <f>E88/F88</f>
        <v>1.8909176859894816</v>
      </c>
      <c r="G89" s="422"/>
      <c r="H89" s="119"/>
      <c r="I89" s="119"/>
      <c r="J89" s="119"/>
      <c r="K89" s="119"/>
      <c r="L89" s="358">
        <f t="shared" ref="L89" si="37">T89/$N$10</f>
        <v>0</v>
      </c>
      <c r="M89" s="358">
        <f t="shared" si="30"/>
        <v>0</v>
      </c>
      <c r="N89" s="359">
        <f t="shared" ref="N89" si="38">M89*$N$10</f>
        <v>0</v>
      </c>
      <c r="O89" s="118"/>
      <c r="P89" s="118"/>
      <c r="Q89" s="118"/>
      <c r="R89" s="49"/>
      <c r="S89" s="65"/>
      <c r="T89" s="332"/>
      <c r="U89" s="422"/>
      <c r="V89" s="422"/>
      <c r="W89" s="422"/>
      <c r="X89" s="422"/>
    </row>
    <row r="90" spans="1:24">
      <c r="A90" s="422"/>
      <c r="B90" s="56" t="s">
        <v>4</v>
      </c>
      <c r="C90" s="32"/>
      <c r="D90" s="40"/>
      <c r="E90" s="40"/>
      <c r="F90" s="40"/>
      <c r="G90" s="40"/>
      <c r="H90" s="40"/>
      <c r="I90" s="40"/>
      <c r="J90" s="40"/>
      <c r="K90" s="40"/>
      <c r="L90" s="299"/>
      <c r="M90" s="299"/>
      <c r="N90" s="9"/>
      <c r="O90" s="40"/>
      <c r="P90" s="40">
        <f>P88-N88</f>
        <v>-619.21114037499956</v>
      </c>
      <c r="Q90" s="40"/>
      <c r="R90" s="116">
        <f>P90/$D$10</f>
        <v>-6.4367062409043614</v>
      </c>
      <c r="S90" s="40">
        <f>(S88)-(N88)</f>
        <v>1084.4086647075696</v>
      </c>
      <c r="T90" s="116">
        <f>I88/D88</f>
        <v>6.1563934324324281</v>
      </c>
      <c r="U90" s="44"/>
      <c r="V90" s="422"/>
      <c r="W90" s="422"/>
      <c r="X90" s="422"/>
    </row>
    <row r="91" spans="1:24">
      <c r="A91" s="422"/>
      <c r="B91" s="56" t="s">
        <v>3</v>
      </c>
      <c r="C91" s="32"/>
      <c r="D91" s="61"/>
      <c r="E91" s="61"/>
      <c r="F91" s="61"/>
      <c r="G91" s="61"/>
      <c r="H91" s="61"/>
      <c r="I91" s="61"/>
      <c r="J91" s="61"/>
      <c r="K91" s="61"/>
      <c r="L91" s="300"/>
      <c r="M91" s="300"/>
      <c r="N91" s="32"/>
      <c r="O91" s="61"/>
      <c r="P91" s="61">
        <f>P88/N88-1</f>
        <v>-0.26717108880702856</v>
      </c>
      <c r="Q91" s="61"/>
      <c r="R91" s="59"/>
      <c r="S91" s="61">
        <f>(S88)/(N88)-1</f>
        <v>0.46788990825688126</v>
      </c>
      <c r="T91" s="61">
        <f>J88</f>
        <v>0.47720136590800361</v>
      </c>
      <c r="U91" s="44"/>
      <c r="V91" s="422"/>
      <c r="W91" s="422"/>
      <c r="X91" s="422"/>
    </row>
    <row r="92" spans="1:24">
      <c r="A92" s="422"/>
      <c r="B92" s="56" t="s">
        <v>2</v>
      </c>
      <c r="C92" s="117"/>
      <c r="D92" s="45"/>
      <c r="E92" s="45"/>
      <c r="F92" s="45"/>
      <c r="G92" s="45"/>
      <c r="H92" s="45"/>
      <c r="I92" s="45"/>
      <c r="J92" s="45"/>
      <c r="K92" s="45"/>
      <c r="L92" s="301"/>
      <c r="M92" s="301"/>
      <c r="N92" s="32"/>
      <c r="O92" s="117" t="e">
        <f>[1]KOLTSEGEK!B74</f>
        <v>#REF!</v>
      </c>
      <c r="P92" s="45" t="e">
        <f>D57*O92</f>
        <v>#REF!</v>
      </c>
      <c r="Q92" s="45"/>
      <c r="R92" s="117" t="e">
        <f>[1]KOLTSEGEK!B84</f>
        <v>#REF!</v>
      </c>
      <c r="S92" s="59" t="e">
        <f>(R92+O92)*D57</f>
        <v>#REF!</v>
      </c>
      <c r="T92" s="116">
        <v>5</v>
      </c>
      <c r="U92" s="44"/>
      <c r="V92" s="422"/>
      <c r="W92" s="422"/>
      <c r="X92" s="422"/>
    </row>
    <row r="93" spans="1:24">
      <c r="A93" s="422"/>
      <c r="B93" s="56" t="s">
        <v>1</v>
      </c>
      <c r="C93" s="32"/>
      <c r="D93" s="40"/>
      <c r="E93" s="40"/>
      <c r="F93" s="40"/>
      <c r="G93" s="40"/>
      <c r="H93" s="40"/>
      <c r="I93" s="40"/>
      <c r="J93" s="40"/>
      <c r="K93" s="40"/>
      <c r="L93" s="299"/>
      <c r="M93" s="299"/>
      <c r="N93" s="32"/>
      <c r="O93" s="71"/>
      <c r="P93" s="40" t="e">
        <f>P90-P92</f>
        <v>#REF!</v>
      </c>
      <c r="Q93" s="40"/>
      <c r="R93" s="116" t="e">
        <f>P93/$D$10</f>
        <v>#REF!</v>
      </c>
      <c r="S93" s="40" t="e">
        <f>S90-S92</f>
        <v>#REF!</v>
      </c>
      <c r="T93" s="116">
        <f>T90-T92</f>
        <v>1.1563934324324281</v>
      </c>
      <c r="U93" s="44"/>
      <c r="V93" s="422"/>
      <c r="W93" s="422"/>
      <c r="X93" s="422"/>
    </row>
    <row r="94" spans="1:24">
      <c r="A94" s="422"/>
      <c r="B94" s="56" t="s">
        <v>0</v>
      </c>
      <c r="C94" s="32"/>
      <c r="D94" s="35"/>
      <c r="E94" s="35"/>
      <c r="F94" s="35"/>
      <c r="G94" s="35"/>
      <c r="H94" s="35"/>
      <c r="I94" s="35"/>
      <c r="J94" s="35"/>
      <c r="K94" s="35"/>
      <c r="L94" s="302"/>
      <c r="M94" s="302"/>
      <c r="N94" s="32"/>
      <c r="O94" s="59"/>
      <c r="P94" s="35" t="e">
        <f>P93/N88</f>
        <v>#REF!</v>
      </c>
      <c r="Q94" s="35"/>
      <c r="R94" s="59"/>
      <c r="S94" s="35" t="e">
        <f>S93/(N88)</f>
        <v>#REF!</v>
      </c>
      <c r="T94" s="61">
        <f>T93/T90</f>
        <v>0.18783618121942056</v>
      </c>
      <c r="U94" s="39"/>
      <c r="V94" s="422"/>
      <c r="W94" s="422"/>
      <c r="X94" s="422"/>
    </row>
    <row r="95" spans="1:24">
      <c r="A95" s="441"/>
      <c r="B95" s="438"/>
      <c r="C95" s="442"/>
      <c r="D95" s="62"/>
      <c r="E95" s="62"/>
      <c r="F95" s="62"/>
      <c r="G95" s="62"/>
      <c r="H95" s="62"/>
      <c r="I95" s="62"/>
      <c r="J95" s="62"/>
      <c r="K95" s="62"/>
      <c r="L95" s="315"/>
      <c r="M95" s="315"/>
      <c r="N95" s="55"/>
      <c r="O95" s="68"/>
      <c r="P95" s="67"/>
      <c r="Q95" s="67"/>
      <c r="R95" s="66"/>
      <c r="S95" s="50"/>
      <c r="U95" s="32"/>
    </row>
    <row r="96" spans="1:24">
      <c r="A96" s="441"/>
      <c r="B96" s="438"/>
      <c r="C96" s="442"/>
      <c r="D96" s="54"/>
      <c r="E96" s="54"/>
      <c r="F96" s="54"/>
      <c r="G96" s="54"/>
      <c r="H96" s="54"/>
      <c r="I96" s="54"/>
      <c r="J96" s="54"/>
      <c r="K96" s="54"/>
      <c r="L96" s="316"/>
      <c r="M96" s="316"/>
      <c r="N96" s="55"/>
      <c r="O96" s="66"/>
      <c r="P96" s="67"/>
      <c r="Q96" s="67"/>
      <c r="R96" s="66"/>
      <c r="S96" s="50"/>
    </row>
    <row r="97" spans="1:21">
      <c r="A97" s="441"/>
      <c r="B97" s="432"/>
      <c r="C97" s="442"/>
      <c r="D97" s="62"/>
      <c r="E97" s="62"/>
      <c r="F97" s="62"/>
      <c r="G97" s="62"/>
      <c r="H97" s="62"/>
      <c r="I97" s="62"/>
      <c r="J97" s="62"/>
      <c r="K97" s="62"/>
      <c r="L97" s="315"/>
      <c r="M97" s="315"/>
      <c r="N97" s="55"/>
      <c r="O97" s="64"/>
      <c r="P97" s="52"/>
      <c r="Q97" s="52"/>
      <c r="R97" s="64"/>
      <c r="S97" s="50"/>
      <c r="T97" s="63"/>
      <c r="U97" s="44"/>
    </row>
    <row r="98" spans="1:21">
      <c r="A98" s="441"/>
      <c r="B98" s="432"/>
      <c r="C98" s="442"/>
      <c r="D98" s="62"/>
      <c r="E98" s="62"/>
      <c r="F98" s="62"/>
      <c r="G98" s="62"/>
      <c r="H98" s="62"/>
      <c r="I98" s="62"/>
      <c r="J98" s="62"/>
      <c r="K98" s="62"/>
      <c r="L98" s="315"/>
      <c r="M98" s="315"/>
      <c r="N98" s="55"/>
      <c r="O98" s="51"/>
      <c r="P98" s="51"/>
      <c r="Q98" s="51"/>
      <c r="R98" s="51"/>
      <c r="S98" s="50"/>
      <c r="T98" s="61"/>
      <c r="U98" s="44"/>
    </row>
    <row r="99" spans="1:21">
      <c r="A99" s="441"/>
      <c r="B99" s="432"/>
      <c r="C99" s="442"/>
      <c r="D99" s="62"/>
      <c r="E99" s="62"/>
      <c r="F99" s="62"/>
      <c r="G99" s="62"/>
      <c r="H99" s="62"/>
      <c r="I99" s="62"/>
      <c r="J99" s="62"/>
      <c r="K99" s="62"/>
      <c r="L99" s="315"/>
      <c r="M99" s="315"/>
      <c r="N99" s="55"/>
      <c r="O99" s="51"/>
      <c r="P99" s="51"/>
      <c r="Q99" s="51"/>
      <c r="R99" s="51"/>
      <c r="S99" s="50"/>
      <c r="T99" s="61"/>
      <c r="U99" s="44"/>
    </row>
    <row r="100" spans="1:21">
      <c r="A100" s="441"/>
      <c r="B100" s="432"/>
      <c r="C100" s="442"/>
      <c r="D100" s="54"/>
      <c r="E100" s="54"/>
      <c r="F100" s="54"/>
      <c r="G100" s="54"/>
      <c r="H100" s="54"/>
      <c r="I100" s="54"/>
      <c r="J100" s="54"/>
      <c r="K100" s="54"/>
      <c r="L100" s="316"/>
      <c r="M100" s="316"/>
      <c r="N100" s="55"/>
      <c r="O100" s="51"/>
      <c r="P100" s="60"/>
      <c r="Q100" s="60"/>
      <c r="R100" s="51"/>
      <c r="S100" s="50"/>
      <c r="T100" s="59"/>
      <c r="U100" s="44"/>
    </row>
    <row r="101" spans="1:21">
      <c r="A101" s="441"/>
      <c r="B101" s="432"/>
      <c r="C101" s="442"/>
      <c r="D101" s="57"/>
      <c r="E101" s="57"/>
      <c r="F101" s="57"/>
      <c r="G101" s="57"/>
      <c r="H101" s="57"/>
      <c r="I101" s="57"/>
      <c r="J101" s="57"/>
      <c r="K101" s="57"/>
      <c r="L101" s="317"/>
      <c r="M101" s="317"/>
      <c r="N101" s="55"/>
      <c r="O101" s="51"/>
      <c r="P101" s="52"/>
      <c r="Q101" s="52"/>
      <c r="R101" s="51"/>
      <c r="S101" s="50"/>
      <c r="T101" s="40"/>
      <c r="U101" s="44"/>
    </row>
    <row r="102" spans="1:21">
      <c r="A102" s="435"/>
      <c r="B102" s="443"/>
      <c r="C102" s="442"/>
      <c r="D102" s="54"/>
      <c r="E102" s="54"/>
      <c r="F102" s="54"/>
      <c r="G102" s="54"/>
      <c r="H102" s="54"/>
      <c r="I102" s="54"/>
      <c r="J102" s="54"/>
      <c r="K102" s="54"/>
      <c r="L102" s="316"/>
      <c r="M102" s="316"/>
      <c r="N102" s="53"/>
      <c r="O102" s="51"/>
      <c r="P102" s="52"/>
      <c r="Q102" s="52"/>
      <c r="R102" s="51"/>
      <c r="S102" s="50"/>
      <c r="T102" s="35"/>
      <c r="U102" s="39"/>
    </row>
    <row r="103" spans="1:21">
      <c r="A103" s="444"/>
      <c r="B103" s="436"/>
      <c r="C103" s="445"/>
      <c r="D103" s="48"/>
      <c r="E103" s="48"/>
      <c r="F103" s="48"/>
      <c r="G103" s="48"/>
      <c r="H103" s="48"/>
      <c r="I103" s="48"/>
      <c r="J103" s="48"/>
      <c r="K103" s="48"/>
      <c r="L103" s="318"/>
      <c r="M103" s="318"/>
      <c r="N103" s="24"/>
      <c r="O103" s="47"/>
      <c r="P103" s="47"/>
      <c r="Q103" s="47"/>
      <c r="R103" s="47"/>
      <c r="S103" s="25"/>
    </row>
    <row r="104" spans="1:21">
      <c r="A104" s="446"/>
      <c r="B104" s="284"/>
      <c r="C104" s="447"/>
      <c r="D104" s="601"/>
      <c r="E104" s="601"/>
      <c r="F104" s="601"/>
      <c r="G104" s="601"/>
      <c r="H104" s="601"/>
      <c r="I104" s="601"/>
      <c r="J104" s="601"/>
      <c r="K104" s="601"/>
      <c r="L104" s="601"/>
      <c r="M104" s="601"/>
      <c r="N104" s="601"/>
      <c r="O104" s="601"/>
      <c r="P104" s="45"/>
      <c r="Q104" s="45"/>
      <c r="R104" s="31"/>
      <c r="S104" s="45"/>
      <c r="T104" s="40"/>
      <c r="U104" s="44"/>
    </row>
    <row r="105" spans="1:21">
      <c r="A105" s="446"/>
      <c r="B105" s="448"/>
      <c r="C105" s="284"/>
      <c r="D105" s="601"/>
      <c r="E105" s="601"/>
      <c r="F105" s="601"/>
      <c r="G105" s="601"/>
      <c r="H105" s="601"/>
      <c r="I105" s="601"/>
      <c r="J105" s="601"/>
      <c r="K105" s="601"/>
      <c r="L105" s="601"/>
      <c r="M105" s="601"/>
      <c r="N105" s="601"/>
      <c r="O105" s="601"/>
      <c r="P105" s="40"/>
      <c r="Q105" s="40"/>
      <c r="R105" s="31"/>
      <c r="S105" s="40"/>
      <c r="T105" s="35"/>
      <c r="U105" s="39"/>
    </row>
    <row r="106" spans="1:21">
      <c r="A106" s="428"/>
      <c r="B106" s="449"/>
      <c r="C106" s="450"/>
      <c r="D106" s="601"/>
      <c r="E106" s="601"/>
      <c r="F106" s="601"/>
      <c r="G106" s="601"/>
      <c r="H106" s="601"/>
      <c r="I106" s="601"/>
      <c r="J106" s="601"/>
      <c r="K106" s="601"/>
      <c r="L106" s="601"/>
      <c r="M106" s="601"/>
      <c r="N106" s="601"/>
      <c r="O106" s="601"/>
      <c r="P106" s="35"/>
      <c r="Q106" s="35"/>
      <c r="S106" s="35"/>
    </row>
    <row r="107" spans="1:21">
      <c r="A107" s="446"/>
      <c r="B107" s="431"/>
      <c r="C107" s="451"/>
      <c r="D107" s="31"/>
      <c r="E107" s="31"/>
      <c r="F107" s="31"/>
      <c r="G107" s="31"/>
      <c r="H107" s="31"/>
      <c r="I107" s="31"/>
      <c r="J107" s="31"/>
      <c r="K107" s="31"/>
      <c r="L107" s="289"/>
      <c r="M107" s="289"/>
      <c r="N107" s="596"/>
      <c r="O107" s="596"/>
      <c r="P107" s="32"/>
      <c r="Q107" s="32"/>
      <c r="R107" s="32"/>
    </row>
    <row r="108" spans="1:21">
      <c r="A108" s="428"/>
      <c r="B108" s="432"/>
      <c r="C108" s="451"/>
      <c r="D108" s="31"/>
      <c r="E108" s="31"/>
      <c r="F108" s="31"/>
      <c r="G108" s="31"/>
      <c r="H108" s="31"/>
      <c r="I108" s="31"/>
      <c r="J108" s="31"/>
      <c r="K108" s="31"/>
      <c r="L108" s="289"/>
      <c r="M108" s="289"/>
      <c r="N108" s="32"/>
      <c r="O108" s="32"/>
      <c r="P108" s="32"/>
      <c r="Q108" s="32"/>
      <c r="R108" s="32"/>
    </row>
    <row r="109" spans="1:21">
      <c r="A109" s="428"/>
      <c r="B109" s="432"/>
      <c r="C109" s="451"/>
      <c r="D109" s="31"/>
      <c r="E109" s="31"/>
      <c r="F109" s="31"/>
      <c r="G109" s="31"/>
      <c r="H109" s="31"/>
      <c r="I109" s="31"/>
      <c r="J109" s="31"/>
      <c r="K109" s="31"/>
      <c r="L109" s="289"/>
      <c r="M109" s="289"/>
      <c r="O109" s="32"/>
      <c r="P109" s="32"/>
      <c r="Q109" s="32"/>
      <c r="R109" s="32"/>
    </row>
    <row r="110" spans="1:21">
      <c r="A110" s="452"/>
      <c r="B110" s="432"/>
      <c r="C110" s="451"/>
      <c r="D110" s="31"/>
      <c r="E110" s="31"/>
      <c r="F110" s="31"/>
      <c r="G110" s="31"/>
      <c r="H110" s="31"/>
      <c r="I110" s="31"/>
      <c r="J110" s="31"/>
      <c r="K110" s="31"/>
      <c r="L110" s="289"/>
      <c r="M110" s="289"/>
      <c r="N110" s="31"/>
      <c r="P110" s="29"/>
      <c r="Q110" s="29"/>
      <c r="R110" s="29"/>
      <c r="S110" s="30"/>
    </row>
    <row r="111" spans="1:21">
      <c r="A111" s="428"/>
      <c r="B111" s="432"/>
      <c r="C111" s="451"/>
      <c r="D111" s="29"/>
      <c r="E111" s="29"/>
      <c r="F111" s="29"/>
      <c r="G111" s="29"/>
      <c r="H111" s="29"/>
      <c r="I111" s="29"/>
      <c r="J111" s="29"/>
      <c r="K111" s="29"/>
      <c r="L111" s="319"/>
      <c r="M111" s="319"/>
      <c r="N111" s="29"/>
      <c r="O111" s="29"/>
      <c r="P111" s="26"/>
      <c r="Q111" s="26"/>
      <c r="R111" s="26"/>
      <c r="S111" s="28"/>
    </row>
    <row r="112" spans="1:21">
      <c r="A112" s="436"/>
      <c r="B112" s="432"/>
      <c r="C112" s="451"/>
      <c r="D112" s="27"/>
      <c r="E112" s="27"/>
      <c r="F112" s="27"/>
      <c r="G112" s="27"/>
      <c r="H112" s="27"/>
      <c r="I112" s="27"/>
      <c r="J112" s="27"/>
      <c r="K112" s="27"/>
      <c r="L112" s="320"/>
      <c r="M112" s="320"/>
      <c r="N112" s="26"/>
      <c r="O112" s="26"/>
      <c r="P112" s="24"/>
      <c r="Q112" s="24"/>
      <c r="R112" s="24"/>
      <c r="S112" s="24"/>
    </row>
    <row r="113" spans="1:19">
      <c r="A113" s="452"/>
      <c r="B113" s="432"/>
      <c r="C113" s="451"/>
      <c r="D113" s="24"/>
      <c r="E113" s="24"/>
      <c r="F113" s="24"/>
      <c r="G113" s="24"/>
      <c r="H113" s="24"/>
      <c r="I113" s="24"/>
      <c r="J113" s="24"/>
      <c r="K113" s="24"/>
      <c r="L113" s="321"/>
      <c r="M113" s="321"/>
      <c r="N113" s="24"/>
      <c r="O113" s="24"/>
      <c r="P113" s="29"/>
      <c r="Q113" s="29"/>
      <c r="R113" s="29"/>
      <c r="S113" s="30"/>
    </row>
    <row r="114" spans="1:19">
      <c r="A114" s="453"/>
      <c r="B114" s="432"/>
      <c r="C114" s="451"/>
      <c r="D114" s="29"/>
      <c r="E114" s="29"/>
      <c r="F114" s="29"/>
      <c r="G114" s="29"/>
      <c r="H114" s="29"/>
      <c r="I114" s="29"/>
      <c r="J114" s="29"/>
      <c r="K114" s="29"/>
      <c r="L114" s="319"/>
      <c r="M114" s="319"/>
      <c r="N114" s="29"/>
      <c r="O114" s="29"/>
      <c r="P114" s="26"/>
      <c r="Q114" s="26"/>
      <c r="R114" s="26"/>
      <c r="S114" s="28"/>
    </row>
    <row r="115" spans="1:19">
      <c r="A115" s="436"/>
      <c r="B115" s="432"/>
      <c r="C115" s="451"/>
      <c r="D115" s="27"/>
      <c r="E115" s="27"/>
      <c r="F115" s="27"/>
      <c r="G115" s="27"/>
      <c r="H115" s="27"/>
      <c r="I115" s="27"/>
      <c r="J115" s="27"/>
      <c r="K115" s="27"/>
      <c r="L115" s="320"/>
      <c r="M115" s="320"/>
      <c r="N115" s="26"/>
      <c r="O115" s="26"/>
      <c r="P115" s="25"/>
      <c r="Q115" s="25"/>
      <c r="R115" s="24"/>
      <c r="S115" s="24"/>
    </row>
    <row r="116" spans="1:19">
      <c r="A116" s="437"/>
      <c r="B116" s="432"/>
      <c r="C116" s="451"/>
      <c r="D116" s="24"/>
      <c r="E116" s="24"/>
      <c r="F116" s="24"/>
      <c r="G116" s="24"/>
      <c r="H116" s="24"/>
      <c r="I116" s="24"/>
      <c r="J116" s="24"/>
      <c r="K116" s="24"/>
      <c r="L116" s="321"/>
      <c r="M116" s="321"/>
      <c r="N116" s="25"/>
      <c r="O116" s="24"/>
      <c r="P116" s="23"/>
      <c r="Q116" s="23"/>
      <c r="R116" s="22"/>
      <c r="S116" s="21"/>
    </row>
    <row r="117" spans="1:19">
      <c r="A117" s="454"/>
      <c r="B117" s="438"/>
      <c r="C117" s="451"/>
      <c r="D117" s="20"/>
      <c r="E117" s="20"/>
      <c r="F117" s="20"/>
      <c r="G117" s="20"/>
      <c r="H117" s="20"/>
      <c r="I117" s="20"/>
      <c r="J117" s="20"/>
      <c r="K117" s="20"/>
      <c r="L117" s="311"/>
      <c r="M117" s="311"/>
      <c r="N117" s="19"/>
      <c r="O117" s="18"/>
      <c r="P117" s="17"/>
      <c r="Q117" s="17"/>
      <c r="R117" s="16"/>
      <c r="S117" s="15"/>
    </row>
    <row r="118" spans="1:19">
      <c r="A118" s="455"/>
      <c r="B118" s="438"/>
      <c r="C118" s="451"/>
      <c r="D118" s="14"/>
      <c r="E118" s="14"/>
      <c r="F118" s="14"/>
      <c r="G118" s="14"/>
      <c r="H118" s="14"/>
      <c r="I118" s="14"/>
      <c r="J118" s="14"/>
      <c r="K118" s="14"/>
      <c r="L118" s="312"/>
      <c r="M118" s="312"/>
      <c r="N118" s="13"/>
      <c r="O118" s="12"/>
    </row>
    <row r="119" spans="1:19">
      <c r="A119" s="455"/>
      <c r="B119" s="438"/>
      <c r="C119" s="451"/>
      <c r="D119" s="1"/>
      <c r="E119" s="1"/>
      <c r="F119" s="1"/>
      <c r="G119" s="1"/>
      <c r="H119" s="1"/>
      <c r="I119" s="1"/>
      <c r="J119" s="1"/>
      <c r="K119" s="1"/>
      <c r="L119" s="307"/>
      <c r="M119" s="307"/>
      <c r="N119" s="1"/>
      <c r="O119" s="1"/>
    </row>
    <row r="120" spans="1:19">
      <c r="A120" s="455"/>
      <c r="B120" s="432"/>
      <c r="C120" s="451"/>
      <c r="D120" s="1"/>
      <c r="E120" s="1"/>
      <c r="F120" s="1"/>
      <c r="G120" s="1"/>
      <c r="H120" s="1"/>
      <c r="I120" s="1"/>
      <c r="J120" s="1"/>
      <c r="K120" s="1"/>
      <c r="L120" s="307"/>
      <c r="M120" s="307"/>
      <c r="N120" s="1"/>
      <c r="O120" s="1"/>
    </row>
    <row r="121" spans="1:19">
      <c r="A121" s="455"/>
      <c r="B121" s="432"/>
      <c r="C121" s="451"/>
      <c r="D121" s="1"/>
      <c r="E121" s="1"/>
      <c r="F121" s="1"/>
      <c r="G121" s="1"/>
      <c r="H121" s="1"/>
      <c r="I121" s="1"/>
      <c r="J121" s="1"/>
      <c r="K121" s="1"/>
      <c r="L121" s="307"/>
      <c r="M121" s="307"/>
      <c r="N121" s="1"/>
      <c r="O121" s="1"/>
    </row>
    <row r="122" spans="1:19">
      <c r="A122" s="455"/>
      <c r="B122" s="432"/>
      <c r="C122" s="451"/>
      <c r="D122" s="1"/>
      <c r="E122" s="1"/>
      <c r="F122" s="1"/>
      <c r="G122" s="1"/>
      <c r="H122" s="1"/>
      <c r="I122" s="1"/>
      <c r="J122" s="1"/>
      <c r="K122" s="1"/>
      <c r="L122" s="307"/>
      <c r="M122" s="307"/>
      <c r="N122" s="1"/>
      <c r="O122" s="1"/>
    </row>
    <row r="123" spans="1:19">
      <c r="A123" s="455"/>
      <c r="B123" s="456"/>
      <c r="C123" s="427"/>
      <c r="D123" s="1"/>
      <c r="E123" s="1"/>
      <c r="F123" s="1"/>
      <c r="G123" s="1"/>
      <c r="H123" s="1"/>
      <c r="I123" s="1"/>
      <c r="J123" s="1"/>
      <c r="K123" s="1"/>
      <c r="L123" s="307"/>
      <c r="M123" s="307"/>
      <c r="N123" s="1"/>
      <c r="O123" s="1"/>
    </row>
    <row r="124" spans="1:19">
      <c r="A124" s="455"/>
      <c r="B124" s="456"/>
      <c r="C124" s="427"/>
      <c r="D124" s="1"/>
      <c r="E124" s="1"/>
      <c r="F124" s="1"/>
      <c r="G124" s="1"/>
      <c r="H124" s="1"/>
      <c r="I124" s="1"/>
      <c r="J124" s="1"/>
      <c r="K124" s="1"/>
      <c r="L124" s="307"/>
      <c r="M124" s="307"/>
      <c r="N124" s="1"/>
      <c r="O124" s="1"/>
    </row>
    <row r="125" spans="1:19">
      <c r="A125" s="455"/>
      <c r="B125" s="427"/>
      <c r="C125" s="427"/>
      <c r="D125" s="1"/>
      <c r="E125" s="1"/>
      <c r="F125" s="1"/>
      <c r="G125" s="1"/>
      <c r="H125" s="1"/>
      <c r="I125" s="1"/>
      <c r="J125" s="1"/>
      <c r="K125" s="1"/>
      <c r="L125" s="307"/>
      <c r="M125" s="307"/>
      <c r="N125" s="1"/>
      <c r="O125" s="1"/>
    </row>
    <row r="126" spans="1:19">
      <c r="A126" s="455"/>
      <c r="B126" s="427"/>
      <c r="C126" s="427"/>
      <c r="D126" s="1"/>
      <c r="E126" s="1"/>
      <c r="F126" s="1"/>
      <c r="G126" s="1"/>
      <c r="H126" s="1"/>
      <c r="I126" s="1"/>
      <c r="J126" s="1"/>
      <c r="K126" s="1"/>
      <c r="L126" s="307"/>
      <c r="M126" s="307"/>
      <c r="N126" s="1"/>
      <c r="O126" s="1"/>
    </row>
    <row r="127" spans="1:19">
      <c r="A127" s="455"/>
      <c r="B127" s="427"/>
      <c r="C127" s="427"/>
      <c r="D127" s="1"/>
      <c r="E127" s="1"/>
      <c r="F127" s="1"/>
      <c r="G127" s="1"/>
      <c r="H127" s="1"/>
      <c r="I127" s="1"/>
      <c r="J127" s="1"/>
      <c r="K127" s="1"/>
      <c r="L127" s="307"/>
      <c r="M127" s="307"/>
      <c r="N127" s="1"/>
      <c r="O127" s="1"/>
    </row>
    <row r="128" spans="1:19">
      <c r="A128" s="455"/>
      <c r="B128" s="427"/>
      <c r="C128" s="427"/>
      <c r="N128" s="1"/>
      <c r="O128" s="1"/>
    </row>
    <row r="129" spans="1:15">
      <c r="A129" s="455"/>
      <c r="B129" s="427"/>
      <c r="C129" s="427"/>
      <c r="D129" s="1"/>
      <c r="E129" s="1"/>
      <c r="F129" s="1"/>
      <c r="G129" s="1"/>
      <c r="H129" s="1"/>
      <c r="I129" s="1"/>
      <c r="J129" s="1"/>
      <c r="K129" s="1"/>
      <c r="L129" s="307"/>
      <c r="M129" s="307"/>
      <c r="N129" s="1"/>
      <c r="O129" s="1"/>
    </row>
    <row r="130" spans="1:15">
      <c r="A130" s="455"/>
      <c r="B130" s="427"/>
      <c r="C130" s="427"/>
      <c r="D130" s="1"/>
      <c r="E130" s="1"/>
      <c r="F130" s="1"/>
      <c r="G130" s="1"/>
      <c r="H130" s="1"/>
      <c r="I130" s="1"/>
      <c r="J130" s="1"/>
      <c r="K130" s="1"/>
      <c r="L130" s="307"/>
      <c r="M130" s="307"/>
      <c r="N130" s="1"/>
      <c r="O130" s="1"/>
    </row>
    <row r="131" spans="1:15">
      <c r="A131" s="455"/>
      <c r="B131" s="427"/>
      <c r="C131" s="427"/>
      <c r="D131" s="1"/>
      <c r="E131" s="1"/>
      <c r="F131" s="1"/>
      <c r="G131" s="1"/>
      <c r="H131" s="1"/>
      <c r="I131" s="1"/>
      <c r="J131" s="1"/>
      <c r="K131" s="1"/>
      <c r="L131" s="307"/>
      <c r="M131" s="307"/>
      <c r="N131" s="1"/>
      <c r="O131" s="1"/>
    </row>
    <row r="132" spans="1:15">
      <c r="A132" s="455"/>
      <c r="B132" s="427"/>
      <c r="C132" s="427"/>
      <c r="D132" s="1"/>
      <c r="E132" s="1"/>
      <c r="F132" s="1"/>
      <c r="G132" s="1"/>
      <c r="H132" s="1"/>
      <c r="I132" s="1"/>
      <c r="J132" s="1"/>
      <c r="K132" s="1"/>
      <c r="L132" s="307"/>
      <c r="M132" s="307"/>
    </row>
    <row r="133" spans="1:15">
      <c r="A133" s="455"/>
      <c r="B133" s="427"/>
      <c r="C133" s="427"/>
      <c r="D133" s="1"/>
      <c r="E133" s="1"/>
      <c r="F133" s="1"/>
      <c r="G133" s="1"/>
      <c r="H133" s="1"/>
      <c r="I133" s="1"/>
      <c r="J133" s="1"/>
      <c r="K133" s="1"/>
      <c r="L133" s="307"/>
      <c r="M133" s="307"/>
    </row>
    <row r="134" spans="1:15">
      <c r="A134" s="455"/>
      <c r="B134" s="427"/>
      <c r="C134" s="427"/>
      <c r="D134" s="1"/>
      <c r="E134" s="1"/>
      <c r="F134" s="1"/>
      <c r="G134" s="1"/>
      <c r="H134" s="1"/>
      <c r="I134" s="1"/>
      <c r="J134" s="1"/>
      <c r="K134" s="1"/>
      <c r="L134" s="307"/>
      <c r="M134" s="307"/>
    </row>
    <row r="135" spans="1:15">
      <c r="A135" s="457"/>
      <c r="B135" s="458"/>
      <c r="C135" s="428"/>
    </row>
    <row r="136" spans="1:15">
      <c r="A136" s="428"/>
      <c r="B136" s="428"/>
      <c r="C136" s="428"/>
    </row>
    <row r="137" spans="1:15">
      <c r="A137" s="428"/>
      <c r="B137" s="428"/>
      <c r="C137" s="428"/>
    </row>
    <row r="138" spans="1:15">
      <c r="A138" s="459"/>
      <c r="B138" s="428"/>
      <c r="C138" s="428"/>
    </row>
    <row r="139" spans="1:15">
      <c r="A139" s="453"/>
      <c r="B139" s="427"/>
      <c r="C139" s="428"/>
    </row>
    <row r="140" spans="1:15">
      <c r="A140" s="428"/>
      <c r="B140" s="428"/>
      <c r="C140" s="428"/>
    </row>
    <row r="141" spans="1:15">
      <c r="A141" s="428"/>
      <c r="B141" s="428"/>
      <c r="C141" s="428"/>
    </row>
    <row r="142" spans="1:15">
      <c r="A142" s="428"/>
      <c r="B142" s="428"/>
      <c r="C142" s="428"/>
    </row>
    <row r="155" spans="14:18">
      <c r="N155" s="1"/>
      <c r="O155" s="1"/>
      <c r="P155" s="1"/>
      <c r="Q155" s="1"/>
      <c r="R155" s="1"/>
    </row>
    <row r="156" spans="14:18">
      <c r="N156" s="1"/>
      <c r="O156" s="1"/>
      <c r="P156" s="1"/>
      <c r="Q156" s="1"/>
      <c r="R156" s="1"/>
    </row>
    <row r="157" spans="14:18">
      <c r="N157" s="1"/>
      <c r="O157" s="1"/>
      <c r="P157" s="2"/>
      <c r="Q157" s="2"/>
      <c r="R157" s="1"/>
    </row>
    <row r="158" spans="14:18">
      <c r="N158" s="1"/>
      <c r="O158" s="1"/>
      <c r="P158" s="2"/>
      <c r="Q158" s="2"/>
      <c r="R158" s="1"/>
    </row>
    <row r="159" spans="14:18">
      <c r="N159" s="1"/>
      <c r="O159" s="1"/>
      <c r="P159" s="1"/>
      <c r="Q159" s="1"/>
      <c r="R159" s="1"/>
    </row>
    <row r="160" spans="14:18">
      <c r="N160" s="1"/>
      <c r="O160" s="1"/>
      <c r="P160" s="1"/>
      <c r="Q160" s="1"/>
      <c r="R160" s="1"/>
    </row>
    <row r="161" spans="14:18">
      <c r="N161" s="1"/>
      <c r="O161" s="1"/>
      <c r="P161" s="1"/>
      <c r="Q161" s="1"/>
      <c r="R161" s="1"/>
    </row>
    <row r="162" spans="14:18">
      <c r="N162" s="1"/>
      <c r="O162" s="1"/>
      <c r="P162" s="1"/>
      <c r="Q162" s="1"/>
      <c r="R162" s="1"/>
    </row>
    <row r="163" spans="14:18">
      <c r="N163" s="1"/>
      <c r="O163" s="1"/>
      <c r="P163" s="1"/>
      <c r="Q163" s="1"/>
      <c r="R163" s="1"/>
    </row>
  </sheetData>
  <mergeCells count="8">
    <mergeCell ref="N107:O107"/>
    <mergeCell ref="C1:D1"/>
    <mergeCell ref="N1:O1"/>
    <mergeCell ref="N2:P2"/>
    <mergeCell ref="D104:O104"/>
    <mergeCell ref="D105:O105"/>
    <mergeCell ref="D106:O106"/>
    <mergeCell ref="N49:P49"/>
  </mergeCells>
  <conditionalFormatting sqref="R13:R40 O25:P27 T25:T27 O33:P35 T33:T41 P36:P40 U40 S40:S41 O43:Q43 S43 P46:Q47 S46:S47 V40:V41 P51:S51 O52 O54:S54 P55:S55 P56:Q56 S56 O57:S58 P59:Q59 S59 P60:S60 O61:Q61 S61 O63 P63:Q64 S63:S64 T65:T66 P66:Q67 S66:S67 P75:S75 O76 P80:R80 O81:Q82 O83:R86 P87:Q87 P88:R90 O88:O92 R91:R92 T95:T96 O97:R97 T101:T102 P101:Q103 S103 T104:T105 P105:Q106 S105:S106 C115 C118:C122 D43:M43 D46:M47 D100:M100 D102:M102 R60:R87 O72:P74 T72:T74 O80:P82 T80:T88 P83:P87 U87 S87:S88 O90:Q90 S90 P91:Q96 S93:S94 V87:V88 D90:M90 D93:M96">
    <cfRule type="cellIs" dxfId="3" priority="4" stopIfTrue="1" operator="lessThan">
      <formula>0</formula>
    </cfRule>
  </conditionalFormatting>
  <pageMargins left="0.43" right="0.27" top="0.51" bottom="0.39" header="0.15748031496062992" footer="0.19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163"/>
  <sheetViews>
    <sheetView topLeftCell="A13" zoomScale="85" zoomScaleNormal="85" workbookViewId="0">
      <selection activeCell="H2" sqref="H2"/>
    </sheetView>
  </sheetViews>
  <sheetFormatPr defaultRowHeight="21"/>
  <cols>
    <col min="1" max="1" width="16" style="422" customWidth="1"/>
    <col min="2" max="2" width="43.85546875" style="422" customWidth="1"/>
    <col min="3" max="3" width="17.140625" style="422" customWidth="1"/>
    <col min="4" max="4" width="16.42578125" style="422" customWidth="1"/>
    <col min="5" max="5" width="24.7109375" style="422" hidden="1" customWidth="1"/>
    <col min="6" max="7" width="28.28515625" style="422" hidden="1" customWidth="1"/>
    <col min="8" max="8" width="20.85546875" style="422" customWidth="1"/>
    <col min="9" max="9" width="19.85546875" style="422" customWidth="1"/>
    <col min="10" max="10" width="16.42578125" style="422" customWidth="1"/>
    <col min="11" max="11" width="14" style="422" customWidth="1"/>
    <col min="12" max="13" width="16.42578125" style="309" hidden="1" customWidth="1"/>
    <col min="14" max="14" width="19" style="422" hidden="1" customWidth="1"/>
    <col min="15" max="15" width="19.85546875" style="422" hidden="1" customWidth="1"/>
    <col min="16" max="17" width="19" style="422" hidden="1" customWidth="1"/>
    <col min="18" max="18" width="23.140625" style="422" hidden="1" customWidth="1"/>
    <col min="19" max="19" width="2.42578125" style="422" hidden="1" customWidth="1"/>
    <col min="20" max="20" width="16.42578125" style="422" bestFit="1" customWidth="1"/>
    <col min="21" max="21" width="17.5703125" style="422" hidden="1" customWidth="1"/>
    <col min="22" max="22" width="18.7109375" style="422" bestFit="1" customWidth="1"/>
    <col min="23" max="23" width="23.28515625" style="422" customWidth="1"/>
    <col min="24" max="24" width="17" style="422" bestFit="1" customWidth="1"/>
    <col min="25" max="25" width="11.85546875" style="424" customWidth="1"/>
    <col min="26" max="26" width="7.140625" style="32" bestFit="1" customWidth="1"/>
    <col min="27" max="27" width="15" style="32" bestFit="1" customWidth="1"/>
    <col min="28" max="16384" width="9.140625" style="422"/>
  </cols>
  <sheetData>
    <row r="1" spans="1:36" ht="21.75" thickBot="1">
      <c r="A1" s="266"/>
      <c r="B1" s="265"/>
      <c r="C1" s="597"/>
      <c r="D1" s="598"/>
      <c r="E1" s="263"/>
      <c r="F1" s="263"/>
      <c r="G1" s="263"/>
      <c r="H1" s="263"/>
      <c r="I1" s="263"/>
      <c r="J1" s="263"/>
      <c r="K1" s="263"/>
      <c r="L1" s="286"/>
      <c r="M1" s="286"/>
      <c r="N1" s="597"/>
      <c r="O1" s="598"/>
      <c r="P1" s="423"/>
      <c r="Q1" s="263"/>
      <c r="R1" s="263"/>
      <c r="S1" s="262">
        <v>3</v>
      </c>
      <c r="T1" s="262"/>
      <c r="U1" s="262">
        <v>3</v>
      </c>
    </row>
    <row r="2" spans="1:36" s="424" customFormat="1" ht="21.75" thickBot="1">
      <c r="A2" s="408" t="s">
        <v>111</v>
      </c>
      <c r="B2" s="409" t="s">
        <v>115</v>
      </c>
      <c r="C2" s="412" t="s">
        <v>109</v>
      </c>
      <c r="D2" s="415"/>
      <c r="E2" s="411"/>
      <c r="F2" s="411"/>
      <c r="G2" s="411"/>
      <c r="H2" s="410" t="s">
        <v>116</v>
      </c>
      <c r="I2" s="411"/>
      <c r="J2" s="411"/>
      <c r="K2" s="411"/>
      <c r="L2" s="416"/>
      <c r="M2" s="416"/>
      <c r="N2" s="602" t="s">
        <v>59</v>
      </c>
      <c r="O2" s="602"/>
      <c r="P2" s="603"/>
      <c r="Q2" s="425"/>
      <c r="R2" s="418" t="s">
        <v>58</v>
      </c>
      <c r="S2" s="419"/>
      <c r="T2" s="420"/>
      <c r="U2" s="252"/>
      <c r="V2" s="422"/>
      <c r="W2" s="422"/>
      <c r="X2" s="422"/>
      <c r="Y2" s="338"/>
      <c r="Z2" s="247"/>
      <c r="AA2" s="32"/>
    </row>
    <row r="3" spans="1:36">
      <c r="A3" s="225"/>
      <c r="B3" s="414">
        <f>C3+D3</f>
        <v>77</v>
      </c>
      <c r="C3" s="31">
        <v>77</v>
      </c>
      <c r="D3" s="238"/>
      <c r="E3" s="284"/>
      <c r="F3" s="284"/>
      <c r="G3" s="284"/>
      <c r="H3" s="284"/>
      <c r="I3" s="284"/>
      <c r="J3" s="284"/>
      <c r="K3" s="284"/>
      <c r="L3" s="289"/>
      <c r="M3" s="289"/>
      <c r="N3" s="234"/>
      <c r="O3" s="235"/>
      <c r="P3" s="220"/>
      <c r="Q3" s="219"/>
      <c r="R3" s="219"/>
      <c r="S3" s="237"/>
      <c r="T3" s="31"/>
      <c r="U3" s="236"/>
      <c r="Y3" s="2"/>
      <c r="Z3" s="234"/>
      <c r="AA3" s="234"/>
      <c r="AB3" s="234"/>
      <c r="AC3" s="104"/>
      <c r="AD3" s="104"/>
      <c r="AE3" s="104"/>
      <c r="AF3" s="104"/>
      <c r="AG3" s="104"/>
    </row>
    <row r="4" spans="1:36" ht="21.75" thickBot="1">
      <c r="A4" s="232">
        <f>B3/B4</f>
        <v>38.5</v>
      </c>
      <c r="B4" s="201">
        <f>C4+D4</f>
        <v>2</v>
      </c>
      <c r="C4" s="223">
        <v>2</v>
      </c>
      <c r="D4" s="231"/>
      <c r="E4" s="280"/>
      <c r="F4" s="280"/>
      <c r="G4" s="280"/>
      <c r="H4" s="280"/>
      <c r="I4" s="280"/>
      <c r="J4" s="280"/>
      <c r="K4" s="280"/>
      <c r="L4" s="290"/>
      <c r="M4" s="290"/>
      <c r="N4" s="230"/>
      <c r="O4" s="229"/>
      <c r="P4" s="228"/>
      <c r="Q4" s="227"/>
      <c r="R4" s="227"/>
      <c r="S4" s="226"/>
      <c r="T4" s="223"/>
      <c r="U4" s="225"/>
      <c r="Y4" s="339"/>
      <c r="Z4" s="222"/>
      <c r="AB4" s="32"/>
      <c r="AE4" s="97"/>
      <c r="AJ4" s="97"/>
    </row>
    <row r="5" spans="1:36" ht="21.75" thickBot="1">
      <c r="A5" s="369"/>
      <c r="B5" s="370">
        <f>A5/A7</f>
        <v>0</v>
      </c>
      <c r="C5" s="103"/>
      <c r="D5" s="95"/>
      <c r="E5" s="95"/>
      <c r="F5" s="95"/>
      <c r="G5" s="95"/>
      <c r="H5" s="95"/>
      <c r="I5" s="95"/>
      <c r="J5" s="95"/>
      <c r="K5" s="95"/>
      <c r="L5" s="291"/>
      <c r="M5" s="291"/>
      <c r="N5" s="32"/>
      <c r="O5" s="221" t="s">
        <v>55</v>
      </c>
      <c r="P5" s="220">
        <f>R5*A5</f>
        <v>0</v>
      </c>
      <c r="Q5" s="219"/>
      <c r="R5" s="218">
        <f>B7*1.09</f>
        <v>13.734</v>
      </c>
      <c r="S5" s="32" t="s">
        <v>54</v>
      </c>
      <c r="T5" s="31"/>
      <c r="AB5" s="424"/>
      <c r="AC5" s="424"/>
      <c r="AD5" s="424"/>
      <c r="AE5" s="424"/>
    </row>
    <row r="6" spans="1:36">
      <c r="A6" s="372" t="s">
        <v>41</v>
      </c>
      <c r="B6" s="373" t="s">
        <v>101</v>
      </c>
      <c r="C6" s="374" t="s">
        <v>102</v>
      </c>
      <c r="D6" s="375" t="s">
        <v>103</v>
      </c>
      <c r="E6" s="374" t="e">
        <f>D6/1.11</f>
        <v>#VALUE!</v>
      </c>
      <c r="F6" s="374"/>
      <c r="G6" s="374"/>
      <c r="H6" s="374" t="s">
        <v>104</v>
      </c>
      <c r="I6" s="376" t="s">
        <v>105</v>
      </c>
      <c r="J6" s="95"/>
      <c r="K6" s="95"/>
      <c r="L6" s="291"/>
      <c r="M6" s="291"/>
      <c r="N6" s="31" t="e">
        <f>C6+D6</f>
        <v>#VALUE!</v>
      </c>
      <c r="O6" s="212"/>
      <c r="P6" s="215"/>
      <c r="Q6" s="214"/>
      <c r="R6" s="209"/>
      <c r="S6" s="32">
        <v>6439.36</v>
      </c>
      <c r="T6" s="31"/>
      <c r="AB6" s="424"/>
      <c r="AC6" s="424"/>
      <c r="AD6" s="424"/>
      <c r="AE6" s="424"/>
    </row>
    <row r="7" spans="1:36" ht="21.75" thickBot="1">
      <c r="A7" s="371">
        <f>B3</f>
        <v>77</v>
      </c>
      <c r="B7" s="377">
        <v>12.6</v>
      </c>
      <c r="C7" s="378">
        <f>A7*B7</f>
        <v>970.19999999999993</v>
      </c>
      <c r="D7" s="378">
        <f>C7*0.11</f>
        <v>106.72199999999999</v>
      </c>
      <c r="E7" s="378"/>
      <c r="F7" s="378"/>
      <c r="G7" s="378"/>
      <c r="H7" s="378">
        <f>SUM(C7:D7)</f>
        <v>1076.922</v>
      </c>
      <c r="I7" s="379">
        <v>2111067</v>
      </c>
      <c r="J7" s="31"/>
      <c r="K7" s="31"/>
      <c r="L7" s="289"/>
      <c r="M7" s="289"/>
      <c r="N7" s="31">
        <f>B7*1.09</f>
        <v>13.734</v>
      </c>
      <c r="O7" s="380" t="s">
        <v>52</v>
      </c>
      <c r="P7" s="381">
        <f>SUM(P5:P6)</f>
        <v>0</v>
      </c>
      <c r="Q7" s="382"/>
      <c r="R7" s="383">
        <f>P7/A7</f>
        <v>0</v>
      </c>
      <c r="S7" s="32"/>
      <c r="T7" s="34"/>
      <c r="AB7" s="424"/>
      <c r="AC7" s="424"/>
      <c r="AD7" s="424"/>
      <c r="AE7" s="424"/>
    </row>
    <row r="8" spans="1:36" ht="45" customHeight="1" thickBot="1">
      <c r="A8" s="413">
        <v>45919</v>
      </c>
      <c r="B8" s="24" t="s">
        <v>50</v>
      </c>
      <c r="C8" s="196"/>
      <c r="E8" s="98"/>
      <c r="F8" s="98"/>
      <c r="G8" s="98"/>
      <c r="H8" s="98"/>
      <c r="I8" s="98"/>
      <c r="J8" s="98"/>
      <c r="K8" s="98"/>
      <c r="L8" s="293"/>
      <c r="M8" s="293"/>
      <c r="N8" s="195"/>
      <c r="O8" s="24"/>
      <c r="P8" s="9">
        <f>P10*1.09</f>
        <v>16.895</v>
      </c>
      <c r="Q8" s="9"/>
      <c r="R8" s="24"/>
      <c r="S8" s="24"/>
      <c r="U8" s="97"/>
    </row>
    <row r="9" spans="1:36" s="32" customFormat="1" ht="77.25" customHeight="1" thickBot="1">
      <c r="A9" s="398"/>
      <c r="B9" s="399" t="s">
        <v>48</v>
      </c>
      <c r="C9" s="400"/>
      <c r="D9" s="401" t="s">
        <v>106</v>
      </c>
      <c r="E9" s="401"/>
      <c r="F9" s="401"/>
      <c r="G9" s="401"/>
      <c r="H9" s="401" t="s">
        <v>49</v>
      </c>
      <c r="I9" s="401" t="s">
        <v>107</v>
      </c>
      <c r="J9" s="401" t="s">
        <v>107</v>
      </c>
      <c r="K9" s="402" t="s">
        <v>97</v>
      </c>
      <c r="L9" s="403"/>
      <c r="M9" s="403"/>
      <c r="N9" s="404" t="s">
        <v>40</v>
      </c>
      <c r="O9" s="405" t="s">
        <v>37</v>
      </c>
      <c r="P9" s="402" t="s">
        <v>47</v>
      </c>
      <c r="Q9" s="402"/>
      <c r="R9" s="405" t="s">
        <v>37</v>
      </c>
      <c r="S9" s="406" t="s">
        <v>36</v>
      </c>
      <c r="T9" s="407" t="s">
        <v>35</v>
      </c>
      <c r="U9" s="351"/>
      <c r="V9" s="422"/>
      <c r="W9" s="422"/>
      <c r="X9" s="422"/>
      <c r="Y9" s="424"/>
    </row>
    <row r="10" spans="1:36">
      <c r="A10" s="386"/>
      <c r="B10" s="387" t="s">
        <v>45</v>
      </c>
      <c r="C10" s="388">
        <f>B4</f>
        <v>2</v>
      </c>
      <c r="D10" s="389">
        <f>B3</f>
        <v>77</v>
      </c>
      <c r="E10" s="390"/>
      <c r="F10" s="390"/>
      <c r="G10" s="390"/>
      <c r="H10" s="390"/>
      <c r="I10" s="390"/>
      <c r="J10" s="390"/>
      <c r="K10" s="390"/>
      <c r="L10" s="391"/>
      <c r="M10" s="391"/>
      <c r="N10" s="392">
        <f>B7</f>
        <v>12.6</v>
      </c>
      <c r="O10" s="393">
        <f>((P10)/N10)-1</f>
        <v>0.23015873015873023</v>
      </c>
      <c r="P10" s="394">
        <v>15.5</v>
      </c>
      <c r="Q10" s="394">
        <f>P10*1.09</f>
        <v>16.895</v>
      </c>
      <c r="R10" s="395">
        <f>((S10)/N10)-1</f>
        <v>-1</v>
      </c>
      <c r="S10" s="396">
        <f>T10/1.09</f>
        <v>0</v>
      </c>
      <c r="T10" s="397"/>
      <c r="U10" s="352"/>
    </row>
    <row r="11" spans="1:36">
      <c r="A11" s="176" t="s">
        <v>44</v>
      </c>
      <c r="B11" s="175" t="s">
        <v>43</v>
      </c>
      <c r="C11" s="174">
        <f>D10/C10</f>
        <v>38.5</v>
      </c>
      <c r="D11" s="173" t="s">
        <v>42</v>
      </c>
      <c r="E11" s="173"/>
      <c r="F11" s="173"/>
      <c r="G11" s="173"/>
      <c r="H11" s="173"/>
      <c r="I11" s="173"/>
      <c r="J11" s="173"/>
      <c r="K11" s="173"/>
      <c r="L11" s="296"/>
      <c r="M11" s="296"/>
      <c r="N11" s="324">
        <f>D10*N10</f>
        <v>970.19999999999993</v>
      </c>
      <c r="O11" s="171">
        <f>N11*O10</f>
        <v>223.30000000000004</v>
      </c>
      <c r="P11" s="170">
        <f>D10*P10</f>
        <v>1193.5</v>
      </c>
      <c r="Q11" s="170"/>
      <c r="R11" s="169">
        <f>N11*R10</f>
        <v>-970.19999999999993</v>
      </c>
      <c r="S11" s="168">
        <f>D10*S10</f>
        <v>0</v>
      </c>
      <c r="T11" s="166"/>
      <c r="U11" s="353"/>
    </row>
    <row r="12" spans="1:36" ht="18.75" customHeight="1" thickBot="1">
      <c r="A12" s="164"/>
      <c r="B12" s="164"/>
      <c r="C12" s="164"/>
      <c r="D12" s="164"/>
      <c r="E12" s="328" t="s">
        <v>92</v>
      </c>
      <c r="F12" s="164" t="s">
        <v>87</v>
      </c>
      <c r="G12" s="329" t="s">
        <v>88</v>
      </c>
      <c r="H12" s="164"/>
      <c r="I12" s="164"/>
      <c r="J12" s="164"/>
      <c r="L12" s="297"/>
      <c r="M12" s="297"/>
      <c r="N12" s="163" t="s">
        <v>40</v>
      </c>
      <c r="O12" s="162" t="s">
        <v>37</v>
      </c>
      <c r="P12" s="160" t="s">
        <v>39</v>
      </c>
      <c r="Q12" s="161" t="s">
        <v>38</v>
      </c>
      <c r="R12" s="162" t="s">
        <v>37</v>
      </c>
      <c r="S12" s="161" t="s">
        <v>36</v>
      </c>
      <c r="T12" s="159"/>
      <c r="U12" s="354" t="s">
        <v>86</v>
      </c>
      <c r="W12" s="335" t="s">
        <v>85</v>
      </c>
      <c r="X12" s="333">
        <f>MAX(T13:T39)</f>
        <v>40</v>
      </c>
      <c r="Y12" s="343"/>
      <c r="Z12" s="344"/>
      <c r="AA12" s="344"/>
    </row>
    <row r="13" spans="1:36" ht="21.75" thickBot="1">
      <c r="A13" s="589">
        <f>I7</f>
        <v>2111067</v>
      </c>
      <c r="B13" s="156" t="s">
        <v>72</v>
      </c>
      <c r="C13" s="155">
        <v>1.67E-2</v>
      </c>
      <c r="D13" s="384">
        <f t="shared" ref="D13:D40" si="0">$D$10*C13</f>
        <v>1.2859</v>
      </c>
      <c r="E13" s="322">
        <f>D13*$N$10</f>
        <v>16.20234</v>
      </c>
      <c r="F13" s="322">
        <f t="shared" ref="F13:F40" si="1">D13*$N$10*U13</f>
        <v>3.2404679999999999</v>
      </c>
      <c r="G13" s="330">
        <f t="shared" ref="G13:G40" si="2">F13*$F$42</f>
        <v>6.1274582520829641</v>
      </c>
      <c r="H13" s="322">
        <f t="shared" ref="H13:H14" si="3">IF(D13 &gt; 0, G13/D13, 0)</f>
        <v>4.7651125686934943</v>
      </c>
      <c r="I13" s="322">
        <f>K13-H13</f>
        <v>2.4420946385137121</v>
      </c>
      <c r="J13" s="326">
        <f t="shared" ref="J13:J41" si="4">IF(H13 &gt; 0, I13/H13, 0)</f>
        <v>0.51249463749463731</v>
      </c>
      <c r="K13" s="149">
        <f>T13/1.11</f>
        <v>7.2072072072072064</v>
      </c>
      <c r="L13" s="298">
        <f>T13/$N$10</f>
        <v>0.63492063492063489</v>
      </c>
      <c r="M13" s="298">
        <f>L13/1.6</f>
        <v>0.3968253968253968</v>
      </c>
      <c r="N13" s="327">
        <f>M13*$N$10</f>
        <v>5</v>
      </c>
      <c r="O13" s="153">
        <f t="shared" ref="O13:O38" si="5">(P13/(N13))-1</f>
        <v>0.39999999999999991</v>
      </c>
      <c r="P13" s="152">
        <v>7</v>
      </c>
      <c r="Q13" s="152">
        <f t="shared" ref="Q13:Q40" si="6">P13*1.09</f>
        <v>7.6300000000000008</v>
      </c>
      <c r="R13" s="151">
        <f t="shared" ref="R13:R39" si="7">((S13)/N13)-1</f>
        <v>0.46788990825688059</v>
      </c>
      <c r="S13" s="150">
        <f t="shared" ref="S13:S39" si="8">T13/1.09</f>
        <v>7.3394495412844032</v>
      </c>
      <c r="T13" s="360">
        <v>8</v>
      </c>
      <c r="U13" s="355">
        <f>T13/$X$12</f>
        <v>0.2</v>
      </c>
      <c r="V13" s="337"/>
      <c r="W13" s="335" t="s">
        <v>99</v>
      </c>
      <c r="X13" s="333">
        <f>E41</f>
        <v>970.19999999999993</v>
      </c>
    </row>
    <row r="14" spans="1:36" ht="21.75" thickBot="1">
      <c r="A14" s="590">
        <f>$A$13</f>
        <v>2111067</v>
      </c>
      <c r="B14" s="147" t="s">
        <v>73</v>
      </c>
      <c r="C14" s="138">
        <v>3.2599999999999997E-2</v>
      </c>
      <c r="D14" s="385">
        <f t="shared" si="0"/>
        <v>2.5101999999999998</v>
      </c>
      <c r="E14" s="322">
        <f t="shared" ref="E14:E40" si="9">D14*$N$10</f>
        <v>31.628519999999995</v>
      </c>
      <c r="F14" s="322">
        <f t="shared" si="1"/>
        <v>2.3721389999999993</v>
      </c>
      <c r="G14" s="330">
        <f t="shared" si="2"/>
        <v>4.4855195887254018</v>
      </c>
      <c r="H14" s="322">
        <f t="shared" si="3"/>
        <v>1.7869172132600599</v>
      </c>
      <c r="I14" s="322">
        <f>K14-H14</f>
        <v>0.91578548944264271</v>
      </c>
      <c r="J14" s="326">
        <f t="shared" si="4"/>
        <v>0.51249463749463775</v>
      </c>
      <c r="K14" s="149">
        <f t="shared" ref="K14:K39" si="10">T14/1.11</f>
        <v>2.7027027027027026</v>
      </c>
      <c r="L14" s="298">
        <f t="shared" ref="L14:L42" si="11">T14/$N$10</f>
        <v>0.23809523809523811</v>
      </c>
      <c r="M14" s="298">
        <f t="shared" ref="M14:M42" si="12">L14/1.6</f>
        <v>0.14880952380952381</v>
      </c>
      <c r="N14" s="327">
        <f t="shared" ref="N14:N42" si="13">M14*$N$10</f>
        <v>1.875</v>
      </c>
      <c r="O14" s="136">
        <f t="shared" si="5"/>
        <v>6.6666666666666652E-2</v>
      </c>
      <c r="P14" s="134">
        <v>2</v>
      </c>
      <c r="Q14" s="134">
        <f t="shared" si="6"/>
        <v>2.1800000000000002</v>
      </c>
      <c r="R14" s="133">
        <f t="shared" si="7"/>
        <v>0.46788990825688059</v>
      </c>
      <c r="S14" s="143">
        <f t="shared" si="8"/>
        <v>2.7522935779816513</v>
      </c>
      <c r="T14" s="361">
        <v>3</v>
      </c>
      <c r="U14" s="355">
        <f t="shared" ref="U14:U39" si="14">T14/$X$12</f>
        <v>7.4999999999999997E-2</v>
      </c>
      <c r="V14" s="337"/>
      <c r="W14" s="335" t="s">
        <v>98</v>
      </c>
      <c r="X14" s="333">
        <f>T41/1.11</f>
        <v>1467.4222972972971</v>
      </c>
    </row>
    <row r="15" spans="1:36" ht="21.75" hidden="1" thickBot="1">
      <c r="A15" s="590">
        <f t="shared" ref="A15:A39" si="15">$A$13</f>
        <v>2111067</v>
      </c>
      <c r="B15" s="139" t="s">
        <v>32</v>
      </c>
      <c r="C15" s="138">
        <v>0</v>
      </c>
      <c r="D15" s="385">
        <f t="shared" si="0"/>
        <v>0</v>
      </c>
      <c r="E15" s="322">
        <f t="shared" si="9"/>
        <v>0</v>
      </c>
      <c r="F15" s="322">
        <f t="shared" si="1"/>
        <v>0</v>
      </c>
      <c r="G15" s="330">
        <f t="shared" si="2"/>
        <v>0</v>
      </c>
      <c r="H15" s="322">
        <f>IF(D15 &gt; 0, G15/D15, 0)</f>
        <v>0</v>
      </c>
      <c r="I15" s="322">
        <f t="shared" ref="I15:I41" si="16">K15-H15</f>
        <v>9.0090090090090076</v>
      </c>
      <c r="J15" s="326">
        <f t="shared" si="4"/>
        <v>0</v>
      </c>
      <c r="K15" s="149">
        <f t="shared" si="10"/>
        <v>9.0090090090090076</v>
      </c>
      <c r="L15" s="298">
        <f t="shared" si="11"/>
        <v>0.79365079365079372</v>
      </c>
      <c r="M15" s="298">
        <f t="shared" si="12"/>
        <v>0.49603174603174605</v>
      </c>
      <c r="N15" s="327">
        <f t="shared" si="13"/>
        <v>6.25</v>
      </c>
      <c r="O15" s="136">
        <f t="shared" si="5"/>
        <v>0.28000000000000003</v>
      </c>
      <c r="P15" s="134">
        <v>8</v>
      </c>
      <c r="Q15" s="134">
        <f t="shared" si="6"/>
        <v>8.7200000000000006</v>
      </c>
      <c r="R15" s="133">
        <f t="shared" si="7"/>
        <v>0.46788990825688082</v>
      </c>
      <c r="S15" s="143">
        <f t="shared" si="8"/>
        <v>9.1743119266055047</v>
      </c>
      <c r="T15" s="361">
        <v>10</v>
      </c>
      <c r="U15" s="355">
        <f t="shared" si="14"/>
        <v>0.25</v>
      </c>
      <c r="W15" s="335" t="s">
        <v>95</v>
      </c>
      <c r="X15" s="333">
        <f>X14-X13</f>
        <v>497.22229729729713</v>
      </c>
    </row>
    <row r="16" spans="1:36" ht="21.75" thickBot="1">
      <c r="A16" s="590">
        <f t="shared" si="15"/>
        <v>2111067</v>
      </c>
      <c r="B16" s="139" t="s">
        <v>74</v>
      </c>
      <c r="C16" s="138">
        <v>2.7300000000000001E-2</v>
      </c>
      <c r="D16" s="385">
        <f t="shared" si="0"/>
        <v>2.1021000000000001</v>
      </c>
      <c r="E16" s="322">
        <f t="shared" si="9"/>
        <v>26.486460000000001</v>
      </c>
      <c r="F16" s="322">
        <f t="shared" si="1"/>
        <v>12.581068500000001</v>
      </c>
      <c r="G16" s="330">
        <f t="shared" si="2"/>
        <v>23.789764935295164</v>
      </c>
      <c r="H16" s="322">
        <f t="shared" ref="H16:H40" si="17">IF(D16 &gt; 0, G16/D16, 0)</f>
        <v>11.31714235064705</v>
      </c>
      <c r="I16" s="322">
        <f t="shared" si="16"/>
        <v>5.7999747664700649</v>
      </c>
      <c r="J16" s="326">
        <f t="shared" si="4"/>
        <v>0.51249463749463708</v>
      </c>
      <c r="K16" s="149">
        <f t="shared" si="10"/>
        <v>17.117117117117115</v>
      </c>
      <c r="L16" s="298">
        <f t="shared" si="11"/>
        <v>1.5079365079365079</v>
      </c>
      <c r="M16" s="298">
        <f t="shared" si="12"/>
        <v>0.94246031746031744</v>
      </c>
      <c r="N16" s="327">
        <f t="shared" si="13"/>
        <v>11.875</v>
      </c>
      <c r="O16" s="136">
        <f t="shared" si="5"/>
        <v>0.34736842105263155</v>
      </c>
      <c r="P16" s="134">
        <v>16</v>
      </c>
      <c r="Q16" s="134">
        <f t="shared" si="6"/>
        <v>17.440000000000001</v>
      </c>
      <c r="R16" s="133">
        <f t="shared" si="7"/>
        <v>0.46788990825688059</v>
      </c>
      <c r="S16" s="143">
        <f t="shared" si="8"/>
        <v>17.431192660550458</v>
      </c>
      <c r="T16" s="361">
        <v>19</v>
      </c>
      <c r="U16" s="355">
        <f t="shared" si="14"/>
        <v>0.47499999999999998</v>
      </c>
      <c r="W16" s="335" t="s">
        <v>96</v>
      </c>
      <c r="X16" s="334">
        <f>X15/X13</f>
        <v>0.51249463749463731</v>
      </c>
      <c r="AA16" s="333"/>
    </row>
    <row r="17" spans="1:27" ht="21.75" thickBot="1">
      <c r="A17" s="590">
        <f t="shared" si="15"/>
        <v>2111067</v>
      </c>
      <c r="B17" s="139" t="s">
        <v>30</v>
      </c>
      <c r="C17" s="138">
        <v>1.15E-2</v>
      </c>
      <c r="D17" s="385">
        <f t="shared" si="0"/>
        <v>0.88549999999999995</v>
      </c>
      <c r="E17" s="322">
        <f t="shared" si="9"/>
        <v>11.157299999999999</v>
      </c>
      <c r="F17" s="322">
        <f t="shared" si="1"/>
        <v>5.5786499999999997</v>
      </c>
      <c r="G17" s="330">
        <f t="shared" si="2"/>
        <v>10.548767948945223</v>
      </c>
      <c r="H17" s="322">
        <f t="shared" si="17"/>
        <v>11.912781421733737</v>
      </c>
      <c r="I17" s="322">
        <f t="shared" si="16"/>
        <v>6.1052365962842785</v>
      </c>
      <c r="J17" s="326">
        <f t="shared" si="4"/>
        <v>0.51249463749463708</v>
      </c>
      <c r="K17" s="149">
        <f t="shared" si="10"/>
        <v>18.018018018018015</v>
      </c>
      <c r="L17" s="298">
        <f t="shared" si="11"/>
        <v>1.5873015873015874</v>
      </c>
      <c r="M17" s="298">
        <f t="shared" si="12"/>
        <v>0.99206349206349209</v>
      </c>
      <c r="N17" s="327">
        <f t="shared" si="13"/>
        <v>12.5</v>
      </c>
      <c r="O17" s="136">
        <f t="shared" si="5"/>
        <v>4.0000000000000036E-2</v>
      </c>
      <c r="P17" s="134">
        <v>13</v>
      </c>
      <c r="Q17" s="134">
        <f t="shared" si="6"/>
        <v>14.170000000000002</v>
      </c>
      <c r="R17" s="133">
        <f t="shared" si="7"/>
        <v>0.46788990825688082</v>
      </c>
      <c r="S17" s="143">
        <f t="shared" si="8"/>
        <v>18.348623853211009</v>
      </c>
      <c r="T17" s="361">
        <v>20</v>
      </c>
      <c r="U17" s="355">
        <f t="shared" si="14"/>
        <v>0.5</v>
      </c>
      <c r="W17" s="32"/>
      <c r="X17" s="32"/>
      <c r="AA17" s="333"/>
    </row>
    <row r="18" spans="1:27" ht="21.75" thickBot="1">
      <c r="A18" s="590">
        <f t="shared" si="15"/>
        <v>2111067</v>
      </c>
      <c r="B18" s="139" t="s">
        <v>75</v>
      </c>
      <c r="C18" s="138">
        <v>0.1198</v>
      </c>
      <c r="D18" s="385">
        <f t="shared" si="0"/>
        <v>9.2246000000000006</v>
      </c>
      <c r="E18" s="322">
        <f t="shared" si="9"/>
        <v>116.22996000000001</v>
      </c>
      <c r="F18" s="322">
        <f t="shared" si="1"/>
        <v>72.643725000000003</v>
      </c>
      <c r="G18" s="330">
        <f t="shared" si="2"/>
        <v>137.36330437865627</v>
      </c>
      <c r="H18" s="322">
        <f t="shared" si="17"/>
        <v>14.890976777167168</v>
      </c>
      <c r="I18" s="322">
        <f t="shared" si="16"/>
        <v>7.6315457453553535</v>
      </c>
      <c r="J18" s="326">
        <f t="shared" si="4"/>
        <v>0.51249463749463753</v>
      </c>
      <c r="K18" s="149">
        <f t="shared" si="10"/>
        <v>22.522522522522522</v>
      </c>
      <c r="L18" s="298">
        <f t="shared" si="11"/>
        <v>1.9841269841269842</v>
      </c>
      <c r="M18" s="298">
        <f t="shared" si="12"/>
        <v>1.2400793650793651</v>
      </c>
      <c r="N18" s="327">
        <f t="shared" si="13"/>
        <v>15.625</v>
      </c>
      <c r="O18" s="136">
        <f t="shared" si="5"/>
        <v>0.31200000000000006</v>
      </c>
      <c r="P18" s="134">
        <v>20.5</v>
      </c>
      <c r="Q18" s="134">
        <f t="shared" si="6"/>
        <v>22.345000000000002</v>
      </c>
      <c r="R18" s="133">
        <f t="shared" si="7"/>
        <v>0.46788990825688059</v>
      </c>
      <c r="S18" s="143">
        <f t="shared" si="8"/>
        <v>22.935779816513758</v>
      </c>
      <c r="T18" s="361">
        <v>25</v>
      </c>
      <c r="U18" s="355">
        <f t="shared" si="14"/>
        <v>0.625</v>
      </c>
    </row>
    <row r="19" spans="1:27" ht="21.75" thickBot="1">
      <c r="A19" s="590">
        <f t="shared" si="15"/>
        <v>2111067</v>
      </c>
      <c r="B19" s="139" t="s">
        <v>76</v>
      </c>
      <c r="C19" s="138">
        <v>5.3699999999999998E-2</v>
      </c>
      <c r="D19" s="385">
        <f t="shared" si="0"/>
        <v>4.1349</v>
      </c>
      <c r="E19" s="322">
        <f t="shared" si="9"/>
        <v>52.099739999999997</v>
      </c>
      <c r="F19" s="322">
        <f t="shared" si="1"/>
        <v>32.562337499999998</v>
      </c>
      <c r="G19" s="330">
        <f t="shared" si="2"/>
        <v>61.572699875908526</v>
      </c>
      <c r="H19" s="322">
        <f t="shared" si="17"/>
        <v>14.890976777167168</v>
      </c>
      <c r="I19" s="322">
        <f t="shared" si="16"/>
        <v>7.6315457453553535</v>
      </c>
      <c r="J19" s="326">
        <f t="shared" si="4"/>
        <v>0.51249463749463753</v>
      </c>
      <c r="K19" s="149">
        <f t="shared" si="10"/>
        <v>22.522522522522522</v>
      </c>
      <c r="L19" s="298">
        <f t="shared" si="11"/>
        <v>1.9841269841269842</v>
      </c>
      <c r="M19" s="298">
        <f t="shared" si="12"/>
        <v>1.2400793650793651</v>
      </c>
      <c r="N19" s="327">
        <f t="shared" si="13"/>
        <v>15.625</v>
      </c>
      <c r="O19" s="136">
        <f t="shared" si="5"/>
        <v>0.31200000000000006</v>
      </c>
      <c r="P19" s="134">
        <v>20.5</v>
      </c>
      <c r="Q19" s="134">
        <f t="shared" si="6"/>
        <v>22.345000000000002</v>
      </c>
      <c r="R19" s="133">
        <f t="shared" si="7"/>
        <v>0.46788990825688059</v>
      </c>
      <c r="S19" s="143">
        <f t="shared" si="8"/>
        <v>22.935779816513758</v>
      </c>
      <c r="T19" s="361">
        <v>25</v>
      </c>
      <c r="U19" s="355">
        <f t="shared" si="14"/>
        <v>0.625</v>
      </c>
    </row>
    <row r="20" spans="1:27" ht="21.75" hidden="1" thickBot="1">
      <c r="A20" s="590">
        <f t="shared" si="15"/>
        <v>2111067</v>
      </c>
      <c r="B20" s="139" t="s">
        <v>27</v>
      </c>
      <c r="C20" s="138">
        <v>0</v>
      </c>
      <c r="D20" s="385">
        <f t="shared" si="0"/>
        <v>0</v>
      </c>
      <c r="E20" s="322">
        <f t="shared" si="9"/>
        <v>0</v>
      </c>
      <c r="F20" s="322">
        <f t="shared" si="1"/>
        <v>0</v>
      </c>
      <c r="G20" s="330">
        <f t="shared" si="2"/>
        <v>0</v>
      </c>
      <c r="H20" s="322">
        <f t="shared" si="17"/>
        <v>0</v>
      </c>
      <c r="I20" s="322">
        <f t="shared" si="16"/>
        <v>22.072072072072071</v>
      </c>
      <c r="J20" s="326">
        <f t="shared" si="4"/>
        <v>0</v>
      </c>
      <c r="K20" s="149">
        <f t="shared" si="10"/>
        <v>22.072072072072071</v>
      </c>
      <c r="L20" s="298">
        <f t="shared" si="11"/>
        <v>1.9444444444444444</v>
      </c>
      <c r="M20" s="298">
        <f t="shared" si="12"/>
        <v>1.2152777777777777</v>
      </c>
      <c r="N20" s="327">
        <f t="shared" si="13"/>
        <v>15.312499999999998</v>
      </c>
      <c r="O20" s="136">
        <f t="shared" si="5"/>
        <v>0.14285714285714302</v>
      </c>
      <c r="P20" s="134">
        <v>17.5</v>
      </c>
      <c r="Q20" s="134">
        <f t="shared" si="6"/>
        <v>19.075000000000003</v>
      </c>
      <c r="R20" s="133">
        <f t="shared" si="7"/>
        <v>0.46788990825688082</v>
      </c>
      <c r="S20" s="143">
        <f t="shared" si="8"/>
        <v>22.477064220183486</v>
      </c>
      <c r="T20" s="361">
        <v>24.5</v>
      </c>
      <c r="U20" s="355">
        <f t="shared" si="14"/>
        <v>0.61250000000000004</v>
      </c>
      <c r="AA20" s="333"/>
    </row>
    <row r="21" spans="1:27" ht="21.75" hidden="1" thickBot="1">
      <c r="A21" s="590">
        <f t="shared" si="15"/>
        <v>2111067</v>
      </c>
      <c r="B21" s="139" t="s">
        <v>26</v>
      </c>
      <c r="C21" s="138">
        <v>0</v>
      </c>
      <c r="D21" s="385">
        <f t="shared" si="0"/>
        <v>0</v>
      </c>
      <c r="E21" s="322">
        <f t="shared" si="9"/>
        <v>0</v>
      </c>
      <c r="F21" s="322">
        <f t="shared" si="1"/>
        <v>0</v>
      </c>
      <c r="G21" s="330">
        <f t="shared" si="2"/>
        <v>0</v>
      </c>
      <c r="H21" s="322">
        <f t="shared" si="17"/>
        <v>0</v>
      </c>
      <c r="I21" s="322">
        <f t="shared" si="16"/>
        <v>19.819819819819816</v>
      </c>
      <c r="J21" s="326">
        <f t="shared" si="4"/>
        <v>0</v>
      </c>
      <c r="K21" s="149">
        <f t="shared" si="10"/>
        <v>19.819819819819816</v>
      </c>
      <c r="L21" s="298">
        <f t="shared" si="11"/>
        <v>1.746031746031746</v>
      </c>
      <c r="M21" s="298">
        <f t="shared" si="12"/>
        <v>1.0912698412698412</v>
      </c>
      <c r="N21" s="327">
        <f t="shared" si="13"/>
        <v>13.749999999999998</v>
      </c>
      <c r="O21" s="136">
        <f t="shared" si="5"/>
        <v>9.090909090909105E-2</v>
      </c>
      <c r="P21" s="134">
        <v>15</v>
      </c>
      <c r="Q21" s="134">
        <f t="shared" si="6"/>
        <v>16.350000000000001</v>
      </c>
      <c r="R21" s="133">
        <f t="shared" si="7"/>
        <v>0.46788990825688082</v>
      </c>
      <c r="S21" s="143">
        <f t="shared" si="8"/>
        <v>20.183486238532108</v>
      </c>
      <c r="T21" s="361">
        <v>22</v>
      </c>
      <c r="U21" s="355">
        <f t="shared" si="14"/>
        <v>0.55000000000000004</v>
      </c>
    </row>
    <row r="22" spans="1:27" ht="21.75" thickBot="1">
      <c r="A22" s="590">
        <f t="shared" si="15"/>
        <v>2111067</v>
      </c>
      <c r="B22" s="139" t="s">
        <v>77</v>
      </c>
      <c r="C22" s="138">
        <v>7.0499999999999993E-2</v>
      </c>
      <c r="D22" s="385">
        <f t="shared" si="0"/>
        <v>5.4284999999999997</v>
      </c>
      <c r="E22" s="322">
        <f t="shared" si="9"/>
        <v>68.39909999999999</v>
      </c>
      <c r="F22" s="322">
        <f t="shared" si="1"/>
        <v>56.429257499999991</v>
      </c>
      <c r="G22" s="330">
        <f t="shared" si="2"/>
        <v>106.7030810140046</v>
      </c>
      <c r="H22" s="322">
        <f t="shared" si="17"/>
        <v>19.656089345860661</v>
      </c>
      <c r="I22" s="322">
        <f t="shared" si="16"/>
        <v>10.073640383869066</v>
      </c>
      <c r="J22" s="326">
        <f t="shared" si="4"/>
        <v>0.51249463749463753</v>
      </c>
      <c r="K22" s="149">
        <f t="shared" si="10"/>
        <v>29.729729729729726</v>
      </c>
      <c r="L22" s="298">
        <f t="shared" si="11"/>
        <v>2.6190476190476191</v>
      </c>
      <c r="M22" s="298">
        <f t="shared" si="12"/>
        <v>1.6369047619047619</v>
      </c>
      <c r="N22" s="327">
        <f t="shared" si="13"/>
        <v>20.625</v>
      </c>
      <c r="O22" s="136">
        <f t="shared" si="5"/>
        <v>0.35757575757575766</v>
      </c>
      <c r="P22" s="134">
        <v>28</v>
      </c>
      <c r="Q22" s="134">
        <f t="shared" si="6"/>
        <v>30.520000000000003</v>
      </c>
      <c r="R22" s="133">
        <f t="shared" si="7"/>
        <v>0.46788990825688059</v>
      </c>
      <c r="S22" s="143">
        <f t="shared" si="8"/>
        <v>30.275229357798164</v>
      </c>
      <c r="T22" s="361">
        <v>33</v>
      </c>
      <c r="U22" s="355">
        <f t="shared" si="14"/>
        <v>0.82499999999999996</v>
      </c>
    </row>
    <row r="23" spans="1:27" ht="21.75" thickBot="1">
      <c r="A23" s="590">
        <f t="shared" si="15"/>
        <v>2111067</v>
      </c>
      <c r="B23" s="139" t="s">
        <v>78</v>
      </c>
      <c r="C23" s="138">
        <v>7.22E-2</v>
      </c>
      <c r="D23" s="385">
        <f t="shared" si="0"/>
        <v>5.5594000000000001</v>
      </c>
      <c r="E23" s="322">
        <f t="shared" si="9"/>
        <v>70.048439999999999</v>
      </c>
      <c r="F23" s="322">
        <f t="shared" si="1"/>
        <v>57.789962999999993</v>
      </c>
      <c r="G23" s="330">
        <f t="shared" si="2"/>
        <v>109.27606310937776</v>
      </c>
      <c r="H23" s="322">
        <f t="shared" si="17"/>
        <v>19.656089345860661</v>
      </c>
      <c r="I23" s="322">
        <f t="shared" si="16"/>
        <v>10.073640383869066</v>
      </c>
      <c r="J23" s="326">
        <f t="shared" si="4"/>
        <v>0.51249463749463753</v>
      </c>
      <c r="K23" s="149">
        <f t="shared" si="10"/>
        <v>29.729729729729726</v>
      </c>
      <c r="L23" s="298">
        <f t="shared" si="11"/>
        <v>2.6190476190476191</v>
      </c>
      <c r="M23" s="298">
        <f t="shared" si="12"/>
        <v>1.6369047619047619</v>
      </c>
      <c r="N23" s="327">
        <f t="shared" si="13"/>
        <v>20.625</v>
      </c>
      <c r="O23" s="136">
        <f t="shared" si="5"/>
        <v>0.35757575757575766</v>
      </c>
      <c r="P23" s="134">
        <v>28</v>
      </c>
      <c r="Q23" s="134">
        <f t="shared" si="6"/>
        <v>30.520000000000003</v>
      </c>
      <c r="R23" s="133">
        <f t="shared" si="7"/>
        <v>0.46788990825688059</v>
      </c>
      <c r="S23" s="143">
        <f t="shared" si="8"/>
        <v>30.275229357798164</v>
      </c>
      <c r="T23" s="361">
        <v>33</v>
      </c>
      <c r="U23" s="355">
        <f t="shared" si="14"/>
        <v>0.82499999999999996</v>
      </c>
    </row>
    <row r="24" spans="1:27" ht="21.75" hidden="1" thickBot="1">
      <c r="A24" s="590">
        <f t="shared" si="15"/>
        <v>2111067</v>
      </c>
      <c r="B24" s="139" t="s">
        <v>23</v>
      </c>
      <c r="C24" s="138">
        <v>0</v>
      </c>
      <c r="D24" s="385">
        <f t="shared" si="0"/>
        <v>0</v>
      </c>
      <c r="E24" s="322">
        <f t="shared" si="9"/>
        <v>0</v>
      </c>
      <c r="F24" s="322">
        <f t="shared" si="1"/>
        <v>0</v>
      </c>
      <c r="G24" s="330">
        <f t="shared" si="2"/>
        <v>0</v>
      </c>
      <c r="H24" s="322">
        <f t="shared" si="17"/>
        <v>0</v>
      </c>
      <c r="I24" s="322">
        <f t="shared" si="16"/>
        <v>22.972972972972972</v>
      </c>
      <c r="J24" s="326">
        <f t="shared" si="4"/>
        <v>0</v>
      </c>
      <c r="K24" s="149">
        <f t="shared" si="10"/>
        <v>22.972972972972972</v>
      </c>
      <c r="L24" s="298">
        <f t="shared" si="11"/>
        <v>2.0238095238095237</v>
      </c>
      <c r="M24" s="298">
        <f t="shared" si="12"/>
        <v>1.2648809523809523</v>
      </c>
      <c r="N24" s="327">
        <f t="shared" si="13"/>
        <v>15.937499999999998</v>
      </c>
      <c r="O24" s="136">
        <f t="shared" si="5"/>
        <v>6.0392156862745017E-2</v>
      </c>
      <c r="P24" s="134">
        <v>16.899999999999999</v>
      </c>
      <c r="Q24" s="134">
        <f t="shared" si="6"/>
        <v>18.420999999999999</v>
      </c>
      <c r="R24" s="133">
        <f t="shared" si="7"/>
        <v>0.46788990825688082</v>
      </c>
      <c r="S24" s="143">
        <f t="shared" si="8"/>
        <v>23.394495412844034</v>
      </c>
      <c r="T24" s="361">
        <v>25.5</v>
      </c>
      <c r="U24" s="355">
        <f t="shared" si="14"/>
        <v>0.63749999999999996</v>
      </c>
    </row>
    <row r="25" spans="1:27" ht="21.75" thickBot="1">
      <c r="A25" s="590">
        <f t="shared" si="15"/>
        <v>2111067</v>
      </c>
      <c r="B25" s="139" t="s">
        <v>79</v>
      </c>
      <c r="C25" s="138">
        <v>0.1797</v>
      </c>
      <c r="D25" s="385">
        <f t="shared" si="0"/>
        <v>13.8369</v>
      </c>
      <c r="E25" s="322">
        <f t="shared" si="9"/>
        <v>174.34494000000001</v>
      </c>
      <c r="F25" s="322">
        <f t="shared" si="1"/>
        <v>106.78627575000002</v>
      </c>
      <c r="G25" s="330">
        <f t="shared" si="2"/>
        <v>201.92405743662474</v>
      </c>
      <c r="H25" s="322">
        <f t="shared" si="17"/>
        <v>14.593157241623826</v>
      </c>
      <c r="I25" s="322">
        <f t="shared" si="16"/>
        <v>7.4789148304482449</v>
      </c>
      <c r="J25" s="326">
        <f t="shared" si="4"/>
        <v>0.51249463749463731</v>
      </c>
      <c r="K25" s="149">
        <f t="shared" si="10"/>
        <v>22.072072072072071</v>
      </c>
      <c r="L25" s="298">
        <f t="shared" si="11"/>
        <v>1.9444444444444444</v>
      </c>
      <c r="M25" s="298">
        <f t="shared" si="12"/>
        <v>1.2152777777777777</v>
      </c>
      <c r="N25" s="327">
        <f t="shared" si="13"/>
        <v>15.312499999999998</v>
      </c>
      <c r="O25" s="136">
        <f t="shared" si="5"/>
        <v>0.30612244897959195</v>
      </c>
      <c r="P25" s="134">
        <v>20</v>
      </c>
      <c r="Q25" s="134">
        <f t="shared" si="6"/>
        <v>21.8</v>
      </c>
      <c r="R25" s="133">
        <f t="shared" si="7"/>
        <v>0.46788990825688082</v>
      </c>
      <c r="S25" s="143">
        <f t="shared" si="8"/>
        <v>22.477064220183486</v>
      </c>
      <c r="T25" s="361">
        <v>24.5</v>
      </c>
      <c r="U25" s="355">
        <f t="shared" si="14"/>
        <v>0.61250000000000004</v>
      </c>
    </row>
    <row r="26" spans="1:27" ht="21.75" hidden="1" thickBot="1">
      <c r="A26" s="590">
        <f t="shared" si="15"/>
        <v>2111067</v>
      </c>
      <c r="B26" s="139" t="s">
        <v>21</v>
      </c>
      <c r="C26" s="138">
        <v>0</v>
      </c>
      <c r="D26" s="385">
        <f t="shared" si="0"/>
        <v>0</v>
      </c>
      <c r="E26" s="322">
        <f t="shared" si="9"/>
        <v>0</v>
      </c>
      <c r="F26" s="322">
        <f t="shared" si="1"/>
        <v>0</v>
      </c>
      <c r="G26" s="330">
        <f t="shared" si="2"/>
        <v>0</v>
      </c>
      <c r="H26" s="322">
        <f t="shared" si="17"/>
        <v>0</v>
      </c>
      <c r="I26" s="322">
        <f t="shared" si="16"/>
        <v>23.423423423423422</v>
      </c>
      <c r="J26" s="326">
        <f t="shared" si="4"/>
        <v>0</v>
      </c>
      <c r="K26" s="149">
        <f t="shared" si="10"/>
        <v>23.423423423423422</v>
      </c>
      <c r="L26" s="298">
        <f t="shared" si="11"/>
        <v>2.0634920634920637</v>
      </c>
      <c r="M26" s="298">
        <f t="shared" si="12"/>
        <v>1.2896825396825398</v>
      </c>
      <c r="N26" s="327">
        <f t="shared" si="13"/>
        <v>16.25</v>
      </c>
      <c r="O26" s="136">
        <f t="shared" si="5"/>
        <v>0.29230769230769238</v>
      </c>
      <c r="P26" s="134">
        <v>21</v>
      </c>
      <c r="Q26" s="134">
        <f t="shared" si="6"/>
        <v>22.89</v>
      </c>
      <c r="R26" s="133">
        <f t="shared" si="7"/>
        <v>0.46788990825688059</v>
      </c>
      <c r="S26" s="143">
        <f t="shared" si="8"/>
        <v>23.853211009174309</v>
      </c>
      <c r="T26" s="361">
        <v>26</v>
      </c>
      <c r="U26" s="355">
        <f t="shared" si="14"/>
        <v>0.65</v>
      </c>
    </row>
    <row r="27" spans="1:27" ht="21.75" hidden="1" thickBot="1">
      <c r="A27" s="590">
        <f t="shared" si="15"/>
        <v>2111067</v>
      </c>
      <c r="B27" s="139" t="s">
        <v>20</v>
      </c>
      <c r="C27" s="138">
        <v>0</v>
      </c>
      <c r="D27" s="385">
        <f t="shared" si="0"/>
        <v>0</v>
      </c>
      <c r="E27" s="322">
        <f t="shared" si="9"/>
        <v>0</v>
      </c>
      <c r="F27" s="322">
        <f t="shared" si="1"/>
        <v>0</v>
      </c>
      <c r="G27" s="330">
        <f t="shared" si="2"/>
        <v>0</v>
      </c>
      <c r="H27" s="322">
        <f t="shared" si="17"/>
        <v>0</v>
      </c>
      <c r="I27" s="322">
        <f t="shared" si="16"/>
        <v>24.774774774774773</v>
      </c>
      <c r="J27" s="326">
        <f t="shared" si="4"/>
        <v>0</v>
      </c>
      <c r="K27" s="149">
        <f t="shared" si="10"/>
        <v>24.774774774774773</v>
      </c>
      <c r="L27" s="298">
        <f t="shared" si="11"/>
        <v>2.1825396825396828</v>
      </c>
      <c r="M27" s="298">
        <f t="shared" si="12"/>
        <v>1.3640873015873016</v>
      </c>
      <c r="N27" s="327">
        <f t="shared" si="13"/>
        <v>17.1875</v>
      </c>
      <c r="O27" s="136">
        <f t="shared" si="5"/>
        <v>0.25090909090909097</v>
      </c>
      <c r="P27" s="134">
        <v>21.5</v>
      </c>
      <c r="Q27" s="134">
        <f t="shared" si="6"/>
        <v>23.435000000000002</v>
      </c>
      <c r="R27" s="133">
        <f t="shared" si="7"/>
        <v>0.46788990825688059</v>
      </c>
      <c r="S27" s="143">
        <f t="shared" si="8"/>
        <v>25.229357798165136</v>
      </c>
      <c r="T27" s="361">
        <v>27.5</v>
      </c>
      <c r="U27" s="355">
        <f t="shared" si="14"/>
        <v>0.6875</v>
      </c>
    </row>
    <row r="28" spans="1:27" ht="21.75" thickBot="1">
      <c r="A28" s="590">
        <f t="shared" si="15"/>
        <v>2111067</v>
      </c>
      <c r="B28" s="139" t="s">
        <v>80</v>
      </c>
      <c r="C28" s="138">
        <v>0.2326</v>
      </c>
      <c r="D28" s="385">
        <f t="shared" si="0"/>
        <v>17.9102</v>
      </c>
      <c r="E28" s="322">
        <f t="shared" si="9"/>
        <v>225.66852</v>
      </c>
      <c r="F28" s="322">
        <f t="shared" si="1"/>
        <v>118.47597300000001</v>
      </c>
      <c r="G28" s="330">
        <f t="shared" si="2"/>
        <v>224.02831271051235</v>
      </c>
      <c r="H28" s="322">
        <f t="shared" si="17"/>
        <v>12.508420492820424</v>
      </c>
      <c r="I28" s="322">
        <f t="shared" si="16"/>
        <v>6.4104984260984921</v>
      </c>
      <c r="J28" s="326">
        <f t="shared" si="4"/>
        <v>0.51249463749463697</v>
      </c>
      <c r="K28" s="149">
        <f t="shared" si="10"/>
        <v>18.918918918918916</v>
      </c>
      <c r="L28" s="298">
        <f t="shared" si="11"/>
        <v>1.6666666666666667</v>
      </c>
      <c r="M28" s="298">
        <f t="shared" si="12"/>
        <v>1.0416666666666667</v>
      </c>
      <c r="N28" s="327">
        <f t="shared" si="13"/>
        <v>13.125</v>
      </c>
      <c r="O28" s="136">
        <f t="shared" si="5"/>
        <v>0.37142857142857144</v>
      </c>
      <c r="P28" s="134">
        <v>18</v>
      </c>
      <c r="Q28" s="134">
        <f t="shared" si="6"/>
        <v>19.62</v>
      </c>
      <c r="R28" s="133">
        <f t="shared" si="7"/>
        <v>0.46788990825688059</v>
      </c>
      <c r="S28" s="143">
        <f t="shared" si="8"/>
        <v>19.266055045871557</v>
      </c>
      <c r="T28" s="361">
        <v>21</v>
      </c>
      <c r="U28" s="355">
        <f t="shared" si="14"/>
        <v>0.52500000000000002</v>
      </c>
    </row>
    <row r="29" spans="1:27" ht="21.75" hidden="1" thickBot="1">
      <c r="A29" s="590">
        <f t="shared" si="15"/>
        <v>2111067</v>
      </c>
      <c r="B29" s="139" t="s">
        <v>18</v>
      </c>
      <c r="C29" s="138">
        <v>0</v>
      </c>
      <c r="D29" s="385">
        <f t="shared" si="0"/>
        <v>0</v>
      </c>
      <c r="E29" s="322">
        <f t="shared" si="9"/>
        <v>0</v>
      </c>
      <c r="F29" s="322">
        <f t="shared" si="1"/>
        <v>0</v>
      </c>
      <c r="G29" s="330">
        <f t="shared" si="2"/>
        <v>0</v>
      </c>
      <c r="H29" s="322">
        <f t="shared" si="17"/>
        <v>0</v>
      </c>
      <c r="I29" s="322">
        <f t="shared" si="16"/>
        <v>22.072072072072071</v>
      </c>
      <c r="J29" s="326">
        <f t="shared" si="4"/>
        <v>0</v>
      </c>
      <c r="K29" s="149">
        <f t="shared" si="10"/>
        <v>22.072072072072071</v>
      </c>
      <c r="L29" s="298">
        <f t="shared" si="11"/>
        <v>1.9444444444444444</v>
      </c>
      <c r="M29" s="298">
        <f t="shared" si="12"/>
        <v>1.2152777777777777</v>
      </c>
      <c r="N29" s="327">
        <f t="shared" si="13"/>
        <v>15.312499999999998</v>
      </c>
      <c r="O29" s="136">
        <f t="shared" si="5"/>
        <v>0.17551020408163276</v>
      </c>
      <c r="P29" s="134">
        <v>18</v>
      </c>
      <c r="Q29" s="134">
        <f t="shared" si="6"/>
        <v>19.62</v>
      </c>
      <c r="R29" s="133">
        <f t="shared" si="7"/>
        <v>0.46788990825688082</v>
      </c>
      <c r="S29" s="143">
        <f t="shared" si="8"/>
        <v>22.477064220183486</v>
      </c>
      <c r="T29" s="361">
        <v>24.5</v>
      </c>
      <c r="U29" s="355">
        <f t="shared" si="14"/>
        <v>0.61250000000000004</v>
      </c>
    </row>
    <row r="30" spans="1:27" ht="21.75" thickBot="1">
      <c r="A30" s="590">
        <f t="shared" si="15"/>
        <v>2111067</v>
      </c>
      <c r="B30" s="146" t="s">
        <v>81</v>
      </c>
      <c r="C30" s="138">
        <v>4.58E-2</v>
      </c>
      <c r="D30" s="385">
        <f t="shared" si="0"/>
        <v>3.5266000000000002</v>
      </c>
      <c r="E30" s="322">
        <f t="shared" si="9"/>
        <v>44.435160000000003</v>
      </c>
      <c r="F30" s="322">
        <f t="shared" si="1"/>
        <v>8.8870320000000014</v>
      </c>
      <c r="G30" s="330">
        <f t="shared" si="2"/>
        <v>16.80464598475448</v>
      </c>
      <c r="H30" s="322">
        <f t="shared" si="17"/>
        <v>4.7651125686934952</v>
      </c>
      <c r="I30" s="322">
        <f t="shared" si="16"/>
        <v>2.4420946385137112</v>
      </c>
      <c r="J30" s="326">
        <f t="shared" si="4"/>
        <v>0.51249463749463697</v>
      </c>
      <c r="K30" s="149">
        <f t="shared" si="10"/>
        <v>7.2072072072072064</v>
      </c>
      <c r="L30" s="298">
        <f t="shared" si="11"/>
        <v>0.63492063492063489</v>
      </c>
      <c r="M30" s="298">
        <f t="shared" si="12"/>
        <v>0.3968253968253968</v>
      </c>
      <c r="N30" s="327">
        <f>M30*$N$10</f>
        <v>5</v>
      </c>
      <c r="O30" s="136">
        <f t="shared" si="5"/>
        <v>0.35999999999999988</v>
      </c>
      <c r="P30" s="134">
        <v>6.8</v>
      </c>
      <c r="Q30" s="134">
        <f t="shared" si="6"/>
        <v>7.4119999999999999</v>
      </c>
      <c r="R30" s="133">
        <f t="shared" si="7"/>
        <v>0.46788990825688059</v>
      </c>
      <c r="S30" s="143">
        <f t="shared" si="8"/>
        <v>7.3394495412844032</v>
      </c>
      <c r="T30" s="361">
        <v>8</v>
      </c>
      <c r="U30" s="355">
        <f t="shared" si="14"/>
        <v>0.2</v>
      </c>
    </row>
    <row r="31" spans="1:27" ht="21.75" thickBot="1">
      <c r="A31" s="590">
        <f t="shared" si="15"/>
        <v>2111067</v>
      </c>
      <c r="B31" s="146" t="s">
        <v>82</v>
      </c>
      <c r="C31" s="138">
        <v>3.61E-2</v>
      </c>
      <c r="D31" s="385">
        <f t="shared" si="0"/>
        <v>2.7797000000000001</v>
      </c>
      <c r="E31" s="322">
        <f t="shared" si="9"/>
        <v>35.02422</v>
      </c>
      <c r="F31" s="322">
        <f t="shared" si="1"/>
        <v>10.507266</v>
      </c>
      <c r="G31" s="330">
        <f t="shared" si="2"/>
        <v>19.868375110795959</v>
      </c>
      <c r="H31" s="322">
        <f t="shared" si="17"/>
        <v>7.1476688530402415</v>
      </c>
      <c r="I31" s="322">
        <f t="shared" si="16"/>
        <v>3.6631419577705691</v>
      </c>
      <c r="J31" s="326">
        <f t="shared" si="4"/>
        <v>0.51249463749463742</v>
      </c>
      <c r="K31" s="149">
        <f t="shared" si="10"/>
        <v>10.810810810810811</v>
      </c>
      <c r="L31" s="298">
        <f t="shared" si="11"/>
        <v>0.95238095238095244</v>
      </c>
      <c r="M31" s="298">
        <f t="shared" si="12"/>
        <v>0.59523809523809523</v>
      </c>
      <c r="N31" s="327">
        <f t="shared" si="13"/>
        <v>7.5</v>
      </c>
      <c r="O31" s="136">
        <f t="shared" si="5"/>
        <v>0.33333333333333326</v>
      </c>
      <c r="P31" s="134">
        <v>10</v>
      </c>
      <c r="Q31" s="134">
        <f t="shared" si="6"/>
        <v>10.9</v>
      </c>
      <c r="R31" s="133">
        <f t="shared" si="7"/>
        <v>0.46788990825688059</v>
      </c>
      <c r="S31" s="143">
        <f t="shared" si="8"/>
        <v>11.009174311926605</v>
      </c>
      <c r="T31" s="361">
        <v>12</v>
      </c>
      <c r="U31" s="355">
        <f t="shared" si="14"/>
        <v>0.3</v>
      </c>
    </row>
    <row r="32" spans="1:27" ht="21.75" hidden="1" thickBot="1">
      <c r="A32" s="590">
        <f t="shared" si="15"/>
        <v>2111067</v>
      </c>
      <c r="B32" s="146" t="s">
        <v>15</v>
      </c>
      <c r="C32" s="138">
        <v>0</v>
      </c>
      <c r="D32" s="385">
        <f t="shared" si="0"/>
        <v>0</v>
      </c>
      <c r="E32" s="322">
        <f t="shared" si="9"/>
        <v>0</v>
      </c>
      <c r="F32" s="322">
        <f t="shared" si="1"/>
        <v>0</v>
      </c>
      <c r="G32" s="330">
        <f t="shared" si="2"/>
        <v>0</v>
      </c>
      <c r="H32" s="322">
        <f t="shared" si="17"/>
        <v>0</v>
      </c>
      <c r="I32" s="322">
        <f t="shared" si="16"/>
        <v>13.513513513513512</v>
      </c>
      <c r="J32" s="326">
        <f t="shared" si="4"/>
        <v>0</v>
      </c>
      <c r="K32" s="149">
        <f t="shared" si="10"/>
        <v>13.513513513513512</v>
      </c>
      <c r="L32" s="298">
        <f t="shared" si="11"/>
        <v>1.1904761904761905</v>
      </c>
      <c r="M32" s="298">
        <f t="shared" si="12"/>
        <v>0.74404761904761896</v>
      </c>
      <c r="N32" s="327">
        <f t="shared" si="13"/>
        <v>9.3749999999999982</v>
      </c>
      <c r="O32" s="136">
        <f t="shared" si="5"/>
        <v>0.28000000000000025</v>
      </c>
      <c r="P32" s="134">
        <v>12</v>
      </c>
      <c r="Q32" s="134">
        <f t="shared" si="6"/>
        <v>13.080000000000002</v>
      </c>
      <c r="R32" s="133">
        <f t="shared" si="7"/>
        <v>0.46788990825688082</v>
      </c>
      <c r="S32" s="143">
        <f t="shared" si="8"/>
        <v>13.761467889908255</v>
      </c>
      <c r="T32" s="361">
        <v>15</v>
      </c>
      <c r="U32" s="355">
        <f t="shared" si="14"/>
        <v>0.375</v>
      </c>
    </row>
    <row r="33" spans="1:21" ht="21.75" thickBot="1">
      <c r="A33" s="590">
        <f t="shared" si="15"/>
        <v>2111067</v>
      </c>
      <c r="B33" s="146" t="s">
        <v>83</v>
      </c>
      <c r="C33" s="138">
        <v>3.5200000000000002E-2</v>
      </c>
      <c r="D33" s="385">
        <f t="shared" si="0"/>
        <v>2.7104000000000004</v>
      </c>
      <c r="E33" s="322">
        <f t="shared" si="9"/>
        <v>34.151040000000002</v>
      </c>
      <c r="F33" s="322">
        <f t="shared" si="1"/>
        <v>10.245312</v>
      </c>
      <c r="G33" s="330">
        <f t="shared" si="2"/>
        <v>19.373041659280272</v>
      </c>
      <c r="H33" s="322">
        <f t="shared" si="17"/>
        <v>7.1476688530402415</v>
      </c>
      <c r="I33" s="322">
        <f t="shared" si="16"/>
        <v>3.6631419577705691</v>
      </c>
      <c r="J33" s="326">
        <f t="shared" si="4"/>
        <v>0.51249463749463742</v>
      </c>
      <c r="K33" s="149">
        <f t="shared" si="10"/>
        <v>10.810810810810811</v>
      </c>
      <c r="L33" s="298">
        <f t="shared" si="11"/>
        <v>0.95238095238095244</v>
      </c>
      <c r="M33" s="298">
        <f t="shared" si="12"/>
        <v>0.59523809523809523</v>
      </c>
      <c r="N33" s="327">
        <f t="shared" si="13"/>
        <v>7.5</v>
      </c>
      <c r="O33" s="136">
        <f t="shared" si="5"/>
        <v>0.46666666666666656</v>
      </c>
      <c r="P33" s="134">
        <v>11</v>
      </c>
      <c r="Q33" s="134">
        <f t="shared" si="6"/>
        <v>11.99</v>
      </c>
      <c r="R33" s="133">
        <f t="shared" si="7"/>
        <v>0.46788990825688059</v>
      </c>
      <c r="S33" s="143">
        <f t="shared" si="8"/>
        <v>11.009174311926605</v>
      </c>
      <c r="T33" s="361">
        <v>12</v>
      </c>
      <c r="U33" s="355">
        <f t="shared" si="14"/>
        <v>0.3</v>
      </c>
    </row>
    <row r="34" spans="1:21" ht="21.75" thickBot="1">
      <c r="A34" s="590">
        <f t="shared" si="15"/>
        <v>2111067</v>
      </c>
      <c r="B34" s="146" t="s">
        <v>13</v>
      </c>
      <c r="C34" s="138">
        <v>8.8000000000000005E-3</v>
      </c>
      <c r="D34" s="385">
        <f t="shared" si="0"/>
        <v>0.67760000000000009</v>
      </c>
      <c r="E34" s="322">
        <f t="shared" si="9"/>
        <v>8.5377600000000005</v>
      </c>
      <c r="F34" s="322">
        <f t="shared" si="1"/>
        <v>2.561328</v>
      </c>
      <c r="G34" s="330">
        <f t="shared" si="2"/>
        <v>4.843260414820068</v>
      </c>
      <c r="H34" s="322">
        <f t="shared" si="17"/>
        <v>7.1476688530402415</v>
      </c>
      <c r="I34" s="322">
        <f t="shared" si="16"/>
        <v>3.6631419577705691</v>
      </c>
      <c r="J34" s="326">
        <f t="shared" si="4"/>
        <v>0.51249463749463742</v>
      </c>
      <c r="K34" s="149">
        <f t="shared" si="10"/>
        <v>10.810810810810811</v>
      </c>
      <c r="L34" s="298">
        <f t="shared" si="11"/>
        <v>0.95238095238095244</v>
      </c>
      <c r="M34" s="298">
        <f t="shared" si="12"/>
        <v>0.59523809523809523</v>
      </c>
      <c r="N34" s="327">
        <f t="shared" si="13"/>
        <v>7.5</v>
      </c>
      <c r="O34" s="136">
        <f t="shared" si="5"/>
        <v>0.46666666666666656</v>
      </c>
      <c r="P34" s="134">
        <v>11</v>
      </c>
      <c r="Q34" s="134">
        <f t="shared" si="6"/>
        <v>11.99</v>
      </c>
      <c r="R34" s="133">
        <f t="shared" si="7"/>
        <v>0.46788990825688059</v>
      </c>
      <c r="S34" s="143">
        <f t="shared" si="8"/>
        <v>11.009174311926605</v>
      </c>
      <c r="T34" s="361">
        <v>12</v>
      </c>
      <c r="U34" s="355">
        <f t="shared" si="14"/>
        <v>0.3</v>
      </c>
    </row>
    <row r="35" spans="1:21" ht="21.75" thickBot="1">
      <c r="A35" s="590">
        <f t="shared" si="15"/>
        <v>2111067</v>
      </c>
      <c r="B35" s="139" t="s">
        <v>84</v>
      </c>
      <c r="C35" s="138">
        <v>1.06E-2</v>
      </c>
      <c r="D35" s="385">
        <f t="shared" si="0"/>
        <v>0.81620000000000004</v>
      </c>
      <c r="E35" s="322">
        <f t="shared" si="9"/>
        <v>10.28412</v>
      </c>
      <c r="F35" s="322">
        <f t="shared" si="1"/>
        <v>10.28412</v>
      </c>
      <c r="G35" s="330">
        <f t="shared" si="2"/>
        <v>19.44642439283815</v>
      </c>
      <c r="H35" s="322">
        <f t="shared" si="17"/>
        <v>23.82556284346747</v>
      </c>
      <c r="I35" s="322">
        <f t="shared" si="16"/>
        <v>12.210473192568561</v>
      </c>
      <c r="J35" s="326">
        <f t="shared" si="4"/>
        <v>0.51249463749463731</v>
      </c>
      <c r="K35" s="149">
        <f t="shared" si="10"/>
        <v>36.03603603603603</v>
      </c>
      <c r="L35" s="298">
        <f t="shared" si="11"/>
        <v>3.1746031746031749</v>
      </c>
      <c r="M35" s="298">
        <f t="shared" si="12"/>
        <v>1.9841269841269842</v>
      </c>
      <c r="N35" s="327">
        <f t="shared" si="13"/>
        <v>25</v>
      </c>
      <c r="O35" s="136">
        <f t="shared" si="5"/>
        <v>0.19999999999999996</v>
      </c>
      <c r="P35" s="134">
        <v>30</v>
      </c>
      <c r="Q35" s="134">
        <f t="shared" si="6"/>
        <v>32.700000000000003</v>
      </c>
      <c r="R35" s="133">
        <f t="shared" si="7"/>
        <v>0.46788990825688082</v>
      </c>
      <c r="S35" s="143">
        <f t="shared" si="8"/>
        <v>36.697247706422019</v>
      </c>
      <c r="T35" s="361">
        <v>40</v>
      </c>
      <c r="U35" s="355">
        <f t="shared" si="14"/>
        <v>1</v>
      </c>
    </row>
    <row r="36" spans="1:21" ht="21.75" hidden="1" thickBot="1">
      <c r="A36" s="590">
        <f t="shared" si="15"/>
        <v>2111067</v>
      </c>
      <c r="B36" s="139" t="s">
        <v>11</v>
      </c>
      <c r="C36" s="138">
        <v>0</v>
      </c>
      <c r="D36" s="385">
        <f t="shared" si="0"/>
        <v>0</v>
      </c>
      <c r="E36" s="322">
        <f t="shared" si="9"/>
        <v>0</v>
      </c>
      <c r="F36" s="322">
        <f t="shared" si="1"/>
        <v>0</v>
      </c>
      <c r="G36" s="330">
        <f t="shared" si="2"/>
        <v>0</v>
      </c>
      <c r="H36" s="322">
        <f t="shared" si="17"/>
        <v>0</v>
      </c>
      <c r="I36" s="322">
        <f t="shared" si="16"/>
        <v>23.423423423423422</v>
      </c>
      <c r="J36" s="326">
        <f t="shared" si="4"/>
        <v>0</v>
      </c>
      <c r="K36" s="149">
        <f t="shared" si="10"/>
        <v>23.423423423423422</v>
      </c>
      <c r="L36" s="298">
        <f t="shared" si="11"/>
        <v>2.0634920634920637</v>
      </c>
      <c r="M36" s="298">
        <f t="shared" si="12"/>
        <v>1.2896825396825398</v>
      </c>
      <c r="N36" s="327">
        <f t="shared" si="13"/>
        <v>16.25</v>
      </c>
      <c r="O36" s="136">
        <f t="shared" si="5"/>
        <v>0.1692307692307693</v>
      </c>
      <c r="P36" s="134">
        <v>19</v>
      </c>
      <c r="Q36" s="134">
        <f t="shared" si="6"/>
        <v>20.71</v>
      </c>
      <c r="R36" s="133">
        <f t="shared" si="7"/>
        <v>0.46788990825688059</v>
      </c>
      <c r="S36" s="143">
        <f t="shared" si="8"/>
        <v>23.853211009174309</v>
      </c>
      <c r="T36" s="361">
        <v>26</v>
      </c>
      <c r="U36" s="355">
        <f t="shared" si="14"/>
        <v>0.65</v>
      </c>
    </row>
    <row r="37" spans="1:21" ht="21.75" hidden="1" thickBot="1">
      <c r="A37" s="590">
        <f t="shared" si="15"/>
        <v>2111067</v>
      </c>
      <c r="B37" s="139" t="s">
        <v>10</v>
      </c>
      <c r="C37" s="138">
        <v>0</v>
      </c>
      <c r="D37" s="385">
        <f t="shared" si="0"/>
        <v>0</v>
      </c>
      <c r="E37" s="322">
        <f t="shared" si="9"/>
        <v>0</v>
      </c>
      <c r="F37" s="322">
        <f t="shared" si="1"/>
        <v>0</v>
      </c>
      <c r="G37" s="330">
        <f t="shared" si="2"/>
        <v>0</v>
      </c>
      <c r="H37" s="322">
        <f t="shared" si="17"/>
        <v>0</v>
      </c>
      <c r="I37" s="322">
        <f t="shared" si="16"/>
        <v>22.072072072072071</v>
      </c>
      <c r="J37" s="326">
        <f t="shared" si="4"/>
        <v>0</v>
      </c>
      <c r="K37" s="149">
        <f t="shared" si="10"/>
        <v>22.072072072072071</v>
      </c>
      <c r="L37" s="298">
        <f t="shared" si="11"/>
        <v>1.9444444444444444</v>
      </c>
      <c r="M37" s="298">
        <f t="shared" si="12"/>
        <v>1.2152777777777777</v>
      </c>
      <c r="N37" s="327">
        <f t="shared" si="13"/>
        <v>15.312499999999998</v>
      </c>
      <c r="O37" s="136">
        <f t="shared" si="5"/>
        <v>0.17551020408163276</v>
      </c>
      <c r="P37" s="134">
        <v>18</v>
      </c>
      <c r="Q37" s="134">
        <f t="shared" si="6"/>
        <v>19.62</v>
      </c>
      <c r="R37" s="133">
        <f t="shared" si="7"/>
        <v>0.46788990825688082</v>
      </c>
      <c r="S37" s="143">
        <f t="shared" si="8"/>
        <v>22.477064220183486</v>
      </c>
      <c r="T37" s="361">
        <v>24.5</v>
      </c>
      <c r="U37" s="355">
        <f t="shared" si="14"/>
        <v>0.61250000000000004</v>
      </c>
    </row>
    <row r="38" spans="1:21" ht="21.75" hidden="1" thickBot="1">
      <c r="A38" s="590">
        <f t="shared" si="15"/>
        <v>2111067</v>
      </c>
      <c r="B38" s="139" t="s">
        <v>9</v>
      </c>
      <c r="C38" s="138">
        <v>0</v>
      </c>
      <c r="D38" s="385">
        <f t="shared" si="0"/>
        <v>0</v>
      </c>
      <c r="E38" s="322">
        <f t="shared" si="9"/>
        <v>0</v>
      </c>
      <c r="F38" s="322">
        <f t="shared" si="1"/>
        <v>0</v>
      </c>
      <c r="G38" s="330">
        <f t="shared" si="2"/>
        <v>0</v>
      </c>
      <c r="H38" s="322">
        <f t="shared" si="17"/>
        <v>0</v>
      </c>
      <c r="I38" s="322">
        <f t="shared" si="16"/>
        <v>22.522522522522522</v>
      </c>
      <c r="J38" s="326">
        <f t="shared" si="4"/>
        <v>0</v>
      </c>
      <c r="K38" s="149">
        <f t="shared" si="10"/>
        <v>22.522522522522522</v>
      </c>
      <c r="L38" s="298">
        <f t="shared" si="11"/>
        <v>1.9841269841269842</v>
      </c>
      <c r="M38" s="298">
        <f t="shared" si="12"/>
        <v>1.2400793650793651</v>
      </c>
      <c r="N38" s="327">
        <f t="shared" si="13"/>
        <v>15.625</v>
      </c>
      <c r="O38" s="136">
        <f t="shared" si="5"/>
        <v>0.18399999999999994</v>
      </c>
      <c r="P38" s="134">
        <v>18.5</v>
      </c>
      <c r="Q38" s="134">
        <f t="shared" si="6"/>
        <v>20.165000000000003</v>
      </c>
      <c r="R38" s="133">
        <f t="shared" si="7"/>
        <v>0.46788990825688059</v>
      </c>
      <c r="S38" s="143">
        <f t="shared" si="8"/>
        <v>22.935779816513758</v>
      </c>
      <c r="T38" s="361">
        <v>25</v>
      </c>
      <c r="U38" s="355">
        <f t="shared" si="14"/>
        <v>0.625</v>
      </c>
    </row>
    <row r="39" spans="1:21" ht="21.75" thickBot="1">
      <c r="A39" s="590">
        <f t="shared" si="15"/>
        <v>2111067</v>
      </c>
      <c r="B39" s="139" t="s">
        <v>8</v>
      </c>
      <c r="C39" s="138">
        <v>4.41E-2</v>
      </c>
      <c r="D39" s="385">
        <f t="shared" si="0"/>
        <v>3.3957000000000002</v>
      </c>
      <c r="E39" s="322">
        <f t="shared" si="9"/>
        <v>42.785820000000001</v>
      </c>
      <c r="F39" s="322">
        <f t="shared" si="1"/>
        <v>2.1392910000000001</v>
      </c>
      <c r="G39" s="330">
        <f t="shared" si="2"/>
        <v>4.0452231873781246</v>
      </c>
      <c r="H39" s="322">
        <f t="shared" si="17"/>
        <v>1.1912781421733736</v>
      </c>
      <c r="I39" s="322">
        <f t="shared" si="16"/>
        <v>0.61052365962842803</v>
      </c>
      <c r="J39" s="326">
        <f t="shared" si="4"/>
        <v>0.51249463749463731</v>
      </c>
      <c r="K39" s="149">
        <f t="shared" si="10"/>
        <v>1.8018018018018016</v>
      </c>
      <c r="L39" s="298">
        <f t="shared" si="11"/>
        <v>0.15873015873015872</v>
      </c>
      <c r="M39" s="298">
        <f t="shared" si="12"/>
        <v>9.9206349206349201E-2</v>
      </c>
      <c r="N39" s="327">
        <f t="shared" si="13"/>
        <v>1.25</v>
      </c>
      <c r="O39" s="136">
        <f>(P39/(N39))-1</f>
        <v>0.43999999999999995</v>
      </c>
      <c r="P39" s="134">
        <v>1.8</v>
      </c>
      <c r="Q39" s="134">
        <f t="shared" si="6"/>
        <v>1.9620000000000002</v>
      </c>
      <c r="R39" s="133">
        <f t="shared" si="7"/>
        <v>0.46788990825688059</v>
      </c>
      <c r="S39" s="143">
        <f t="shared" si="8"/>
        <v>1.8348623853211008</v>
      </c>
      <c r="T39" s="361">
        <v>2</v>
      </c>
      <c r="U39" s="355">
        <f t="shared" si="14"/>
        <v>0.05</v>
      </c>
    </row>
    <row r="40" spans="1:21" ht="21.75" thickBot="1">
      <c r="A40" s="591"/>
      <c r="B40" s="139" t="s">
        <v>7</v>
      </c>
      <c r="C40" s="138">
        <v>2.8E-3</v>
      </c>
      <c r="D40" s="385">
        <f t="shared" si="0"/>
        <v>0.21559999999999999</v>
      </c>
      <c r="E40" s="322">
        <f t="shared" si="9"/>
        <v>2.7165599999999999</v>
      </c>
      <c r="F40" s="322">
        <f t="shared" si="1"/>
        <v>0</v>
      </c>
      <c r="G40" s="330">
        <f t="shared" si="2"/>
        <v>0</v>
      </c>
      <c r="H40" s="322">
        <f t="shared" si="17"/>
        <v>0</v>
      </c>
      <c r="I40" s="322">
        <f t="shared" si="16"/>
        <v>0</v>
      </c>
      <c r="J40" s="326">
        <f t="shared" si="4"/>
        <v>0</v>
      </c>
      <c r="K40" s="326"/>
      <c r="L40" s="298">
        <f t="shared" si="11"/>
        <v>0</v>
      </c>
      <c r="M40" s="298">
        <f t="shared" si="12"/>
        <v>0</v>
      </c>
      <c r="N40" s="327">
        <f t="shared" si="13"/>
        <v>0</v>
      </c>
      <c r="O40" s="136"/>
      <c r="P40" s="135">
        <v>0</v>
      </c>
      <c r="Q40" s="134">
        <f t="shared" si="6"/>
        <v>0</v>
      </c>
      <c r="R40" s="133"/>
      <c r="S40" s="132"/>
      <c r="T40" s="362"/>
      <c r="U40" s="356"/>
    </row>
    <row r="41" spans="1:21" ht="21.75" thickBot="1">
      <c r="A41" s="592"/>
      <c r="B41" s="173" t="s">
        <v>108</v>
      </c>
      <c r="C41" s="267">
        <f>SUM(C13:C40)</f>
        <v>1</v>
      </c>
      <c r="D41" s="126">
        <f>SUM(D13:D40)</f>
        <v>77.000000000000014</v>
      </c>
      <c r="E41" s="363">
        <f>SUM(E13:E40)</f>
        <v>970.19999999999993</v>
      </c>
      <c r="F41" s="363">
        <f>SUM(F13:F40)</f>
        <v>513.08420624999997</v>
      </c>
      <c r="G41" s="363">
        <f>SUM(G13:G40)</f>
        <v>970.20000000000016</v>
      </c>
      <c r="H41" s="364">
        <f>SUMPRODUCT(D13:D40,H13:H40)</f>
        <v>970.20000000000016</v>
      </c>
      <c r="I41" s="364">
        <f t="shared" si="16"/>
        <v>497.2222972972969</v>
      </c>
      <c r="J41" s="365">
        <f t="shared" si="4"/>
        <v>0.51249463749463697</v>
      </c>
      <c r="K41" s="364">
        <f>T41/1.11</f>
        <v>1467.4222972972971</v>
      </c>
      <c r="L41" s="366">
        <f>T41/$N$10</f>
        <v>129.27291666666667</v>
      </c>
      <c r="M41" s="366">
        <f t="shared" si="12"/>
        <v>80.795572916666671</v>
      </c>
      <c r="N41" s="367">
        <f>SUMPRODUCT(D13:D40,N13:N40)</f>
        <v>1018.02421875</v>
      </c>
      <c r="O41" s="125"/>
      <c r="P41" s="124">
        <f>SUMPRODUCT($D$13:$D$40,$P$13:$P$40)</f>
        <v>1359.4634900000005</v>
      </c>
      <c r="Q41" s="124">
        <f>SUMPRODUCT($D$13:$D$40,$Q$13:$Q$40)</f>
        <v>1481.8152041000003</v>
      </c>
      <c r="R41" s="123"/>
      <c r="S41" s="122">
        <f>SUMPRODUCT(D13:D40,S13:S40)</f>
        <v>1494.3474770642201</v>
      </c>
      <c r="T41" s="368">
        <f>SUMPRODUCT(D13:D40,T13:T40)</f>
        <v>1628.8387499999999</v>
      </c>
      <c r="U41" s="357"/>
    </row>
    <row r="42" spans="1:21">
      <c r="A42" s="593"/>
      <c r="B42" s="65" t="s">
        <v>6</v>
      </c>
      <c r="C42" s="114" t="s">
        <v>5</v>
      </c>
      <c r="D42" s="119"/>
      <c r="E42" s="119"/>
      <c r="F42" s="331">
        <f>E41/F41</f>
        <v>1.8909176859894818</v>
      </c>
      <c r="H42" s="119"/>
      <c r="I42" s="119"/>
      <c r="J42" s="119"/>
      <c r="K42" s="119"/>
      <c r="L42" s="358">
        <f t="shared" si="11"/>
        <v>0</v>
      </c>
      <c r="M42" s="358">
        <f t="shared" si="12"/>
        <v>0</v>
      </c>
      <c r="N42" s="359">
        <f t="shared" si="13"/>
        <v>0</v>
      </c>
      <c r="O42" s="118"/>
      <c r="P42" s="118"/>
      <c r="Q42" s="118"/>
      <c r="R42" s="49"/>
      <c r="S42" s="65"/>
      <c r="T42" s="332"/>
    </row>
    <row r="43" spans="1:21">
      <c r="A43" s="594"/>
      <c r="B43" s="56" t="s">
        <v>4</v>
      </c>
      <c r="C43" s="32"/>
      <c r="D43" s="40"/>
      <c r="E43" s="40"/>
      <c r="F43" s="40"/>
      <c r="G43" s="40"/>
      <c r="H43" s="40"/>
      <c r="I43" s="40"/>
      <c r="J43" s="40"/>
      <c r="K43" s="40"/>
      <c r="L43" s="299"/>
      <c r="M43" s="299"/>
      <c r="N43" s="9"/>
      <c r="O43" s="40"/>
      <c r="P43" s="40">
        <f>P41-N41</f>
        <v>341.4392712500005</v>
      </c>
      <c r="Q43" s="40"/>
      <c r="R43" s="116">
        <f>P43/$D$10</f>
        <v>4.4342762500000061</v>
      </c>
      <c r="S43" s="40">
        <f>(S41)-(N41)</f>
        <v>476.32325831422008</v>
      </c>
      <c r="T43" s="116">
        <f>I41/D41</f>
        <v>6.4574324324324257</v>
      </c>
      <c r="U43" s="44"/>
    </row>
    <row r="44" spans="1:21">
      <c r="A44" s="594"/>
      <c r="B44" s="56" t="s">
        <v>3</v>
      </c>
      <c r="C44" s="32"/>
      <c r="D44" s="61"/>
      <c r="E44" s="61"/>
      <c r="F44" s="61"/>
      <c r="G44" s="61"/>
      <c r="H44" s="61"/>
      <c r="I44" s="61"/>
      <c r="J44" s="61"/>
      <c r="K44" s="61"/>
      <c r="L44" s="300"/>
      <c r="M44" s="300"/>
      <c r="N44" s="32"/>
      <c r="O44" s="61"/>
      <c r="P44" s="61">
        <f>P41/N41-1</f>
        <v>0.33539405542752521</v>
      </c>
      <c r="Q44" s="61"/>
      <c r="R44" s="59"/>
      <c r="S44" s="61">
        <f>(S41)/(N41)-1</f>
        <v>0.46788990825688059</v>
      </c>
      <c r="T44" s="61">
        <f>J41</f>
        <v>0.51249463749463697</v>
      </c>
      <c r="U44" s="44"/>
    </row>
    <row r="45" spans="1:21">
      <c r="A45" s="594"/>
      <c r="B45" s="56" t="s">
        <v>2</v>
      </c>
      <c r="C45" s="117"/>
      <c r="D45" s="45"/>
      <c r="E45" s="45"/>
      <c r="F45" s="45"/>
      <c r="G45" s="45"/>
      <c r="H45" s="45"/>
      <c r="I45" s="45"/>
      <c r="J45" s="45"/>
      <c r="K45" s="45"/>
      <c r="L45" s="301"/>
      <c r="M45" s="301"/>
      <c r="N45" s="32"/>
      <c r="O45" s="117">
        <f>[1]KOLTSEGEK!B27</f>
        <v>7.9729729729729728</v>
      </c>
      <c r="P45" s="45">
        <f>D10*O45</f>
        <v>613.91891891891896</v>
      </c>
      <c r="Q45" s="45"/>
      <c r="R45" s="117">
        <f>[1]KOLTSEGEK!B37</f>
        <v>0.52100000000000002</v>
      </c>
      <c r="S45" s="59">
        <f>(R45+O45)*D10</f>
        <v>654.03591891891892</v>
      </c>
      <c r="T45" s="116">
        <v>5</v>
      </c>
      <c r="U45" s="44"/>
    </row>
    <row r="46" spans="1:21">
      <c r="A46" s="594"/>
      <c r="B46" s="56" t="s">
        <v>1</v>
      </c>
      <c r="C46" s="32"/>
      <c r="D46" s="40"/>
      <c r="E46" s="40"/>
      <c r="F46" s="40"/>
      <c r="G46" s="40"/>
      <c r="H46" s="40"/>
      <c r="I46" s="40"/>
      <c r="J46" s="40"/>
      <c r="K46" s="40"/>
      <c r="L46" s="299"/>
      <c r="M46" s="299"/>
      <c r="N46" s="32"/>
      <c r="O46" s="71"/>
      <c r="P46" s="40">
        <f>P43-P45</f>
        <v>-272.47964766891846</v>
      </c>
      <c r="Q46" s="40"/>
      <c r="R46" s="116">
        <f>P46/$D$10</f>
        <v>-3.5386967229729671</v>
      </c>
      <c r="S46" s="40">
        <f>S43-S45</f>
        <v>-177.71266060469884</v>
      </c>
      <c r="T46" s="116">
        <f>T43-T45</f>
        <v>1.4574324324324257</v>
      </c>
      <c r="U46" s="44"/>
    </row>
    <row r="47" spans="1:21">
      <c r="A47" s="594"/>
      <c r="B47" s="56" t="s">
        <v>0</v>
      </c>
      <c r="C47" s="32"/>
      <c r="D47" s="35"/>
      <c r="E47" s="35"/>
      <c r="F47" s="35"/>
      <c r="G47" s="35"/>
      <c r="H47" s="35"/>
      <c r="I47" s="35"/>
      <c r="J47" s="35"/>
      <c r="K47" s="35"/>
      <c r="L47" s="302"/>
      <c r="M47" s="302"/>
      <c r="N47" s="32"/>
      <c r="O47" s="59"/>
      <c r="P47" s="35">
        <f>P46/N41</f>
        <v>-0.26765536875290419</v>
      </c>
      <c r="Q47" s="35"/>
      <c r="R47" s="59"/>
      <c r="S47" s="35">
        <f>S46/(N41)</f>
        <v>-0.17456624049956948</v>
      </c>
      <c r="T47" s="61">
        <f>T46/T43</f>
        <v>0.22569844093334648</v>
      </c>
      <c r="U47" s="39"/>
    </row>
    <row r="48" spans="1:21">
      <c r="A48" s="65"/>
      <c r="B48" s="24"/>
      <c r="C48" s="16"/>
      <c r="D48" s="115"/>
      <c r="E48" s="115"/>
      <c r="F48" s="115"/>
      <c r="G48" s="115"/>
      <c r="H48" s="115"/>
      <c r="I48" s="115"/>
      <c r="J48" s="115"/>
      <c r="K48" s="115"/>
      <c r="L48" s="303"/>
      <c r="M48" s="303"/>
      <c r="N48" s="24"/>
      <c r="O48" s="47"/>
      <c r="P48" s="47"/>
      <c r="Q48" s="47"/>
      <c r="R48" s="47"/>
      <c r="S48" s="25"/>
    </row>
    <row r="49" spans="1:41">
      <c r="A49" s="427"/>
      <c r="B49" s="460"/>
      <c r="C49" s="461"/>
      <c r="D49" s="427"/>
      <c r="E49" s="462"/>
      <c r="F49" s="462"/>
      <c r="G49" s="462"/>
      <c r="H49" s="462"/>
      <c r="I49" s="462"/>
      <c r="J49" s="462"/>
      <c r="K49" s="462"/>
      <c r="L49" s="463"/>
      <c r="M49" s="463"/>
      <c r="N49" s="606"/>
      <c r="O49" s="606"/>
      <c r="P49" s="606"/>
      <c r="Q49" s="429"/>
      <c r="R49" s="430"/>
      <c r="S49" s="428"/>
      <c r="T49" s="464"/>
      <c r="U49" s="464"/>
      <c r="V49" s="428"/>
      <c r="W49" s="428"/>
      <c r="X49" s="428"/>
      <c r="Y49" s="427"/>
      <c r="Z49" s="283"/>
      <c r="AA49" s="283"/>
    </row>
    <row r="50" spans="1:41">
      <c r="A50" s="283"/>
      <c r="B50" s="433"/>
      <c r="C50" s="284"/>
      <c r="D50" s="284"/>
      <c r="E50" s="284"/>
      <c r="F50" s="284"/>
      <c r="G50" s="284"/>
      <c r="H50" s="284"/>
      <c r="I50" s="284"/>
      <c r="J50" s="284"/>
      <c r="K50" s="284"/>
      <c r="L50" s="465"/>
      <c r="M50" s="465"/>
      <c r="N50" s="284"/>
      <c r="O50" s="284"/>
      <c r="P50" s="284"/>
      <c r="Q50" s="284"/>
      <c r="R50" s="284"/>
      <c r="S50" s="284"/>
      <c r="T50" s="284"/>
      <c r="U50" s="284"/>
      <c r="V50" s="428"/>
      <c r="W50" s="428"/>
      <c r="X50" s="428"/>
      <c r="Y50" s="427"/>
      <c r="Z50" s="283"/>
      <c r="AA50" s="283"/>
    </row>
    <row r="51" spans="1:41">
      <c r="A51" s="466"/>
      <c r="B51" s="467"/>
      <c r="C51" s="283"/>
      <c r="D51" s="283"/>
      <c r="E51" s="283"/>
      <c r="F51" s="283"/>
      <c r="G51" s="283"/>
      <c r="H51" s="283"/>
      <c r="I51" s="283"/>
      <c r="J51" s="283"/>
      <c r="K51" s="283"/>
      <c r="L51" s="468"/>
      <c r="M51" s="468"/>
      <c r="N51" s="283"/>
      <c r="O51" s="283"/>
      <c r="P51" s="283"/>
      <c r="Q51" s="283"/>
      <c r="R51" s="283"/>
      <c r="S51" s="283"/>
      <c r="T51" s="283"/>
      <c r="U51" s="283"/>
      <c r="V51" s="428"/>
      <c r="W51" s="428"/>
      <c r="X51" s="428"/>
      <c r="Y51" s="427"/>
      <c r="Z51" s="283"/>
      <c r="AA51" s="283"/>
    </row>
    <row r="52" spans="1:41">
      <c r="A52" s="434"/>
      <c r="B52" s="469"/>
      <c r="C52" s="462"/>
      <c r="D52" s="433"/>
      <c r="E52" s="433"/>
      <c r="F52" s="433"/>
      <c r="G52" s="433"/>
      <c r="H52" s="433"/>
      <c r="I52" s="433"/>
      <c r="J52" s="433"/>
      <c r="K52" s="433"/>
      <c r="L52" s="470"/>
      <c r="M52" s="470"/>
      <c r="N52" s="283"/>
      <c r="O52" s="283"/>
      <c r="P52" s="284"/>
      <c r="Q52" s="284"/>
      <c r="R52" s="284"/>
      <c r="S52" s="283"/>
      <c r="T52" s="284"/>
      <c r="U52" s="428"/>
      <c r="V52" s="428"/>
      <c r="W52" s="428"/>
      <c r="X52" s="428"/>
      <c r="Y52" s="427"/>
      <c r="Z52" s="283"/>
      <c r="AA52" s="283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>
      <c r="A53" s="471"/>
      <c r="B53" s="472"/>
      <c r="C53" s="473"/>
      <c r="D53" s="474"/>
      <c r="E53" s="473"/>
      <c r="F53" s="473"/>
      <c r="G53" s="473"/>
      <c r="H53" s="473"/>
      <c r="I53" s="473"/>
      <c r="J53" s="433"/>
      <c r="K53" s="433"/>
      <c r="L53" s="470"/>
      <c r="M53" s="470"/>
      <c r="N53" s="284"/>
      <c r="O53" s="283"/>
      <c r="P53" s="284"/>
      <c r="Q53" s="284"/>
      <c r="R53" s="284"/>
      <c r="S53" s="283"/>
      <c r="T53" s="284"/>
      <c r="U53" s="428"/>
      <c r="V53" s="428"/>
      <c r="W53" s="428"/>
      <c r="X53" s="428"/>
      <c r="Y53" s="475"/>
      <c r="Z53" s="476"/>
      <c r="AA53" s="476"/>
      <c r="AB53" s="104"/>
      <c r="AC53" s="104"/>
      <c r="AD53" s="104"/>
      <c r="AE53" s="104"/>
      <c r="AF53" s="104"/>
      <c r="AG53" s="104"/>
    </row>
    <row r="54" spans="1:41">
      <c r="A54" s="477"/>
      <c r="B54" s="474"/>
      <c r="C54" s="478"/>
      <c r="D54" s="478"/>
      <c r="E54" s="478"/>
      <c r="F54" s="478"/>
      <c r="G54" s="478"/>
      <c r="H54" s="478"/>
      <c r="I54" s="479"/>
      <c r="J54" s="284"/>
      <c r="K54" s="284"/>
      <c r="L54" s="465"/>
      <c r="M54" s="465"/>
      <c r="N54" s="284"/>
      <c r="O54" s="283"/>
      <c r="P54" s="480"/>
      <c r="Q54" s="480"/>
      <c r="R54" s="284"/>
      <c r="S54" s="283"/>
      <c r="T54" s="446"/>
      <c r="U54" s="428"/>
      <c r="V54" s="428"/>
      <c r="W54" s="428"/>
      <c r="X54" s="428"/>
      <c r="Y54" s="427"/>
      <c r="Z54" s="283"/>
      <c r="AA54" s="283"/>
      <c r="AE54" s="97"/>
      <c r="AJ54" s="97"/>
    </row>
    <row r="55" spans="1:41">
      <c r="A55" s="481"/>
      <c r="B55" s="436"/>
      <c r="C55" s="482"/>
      <c r="D55" s="428"/>
      <c r="E55" s="483"/>
      <c r="F55" s="483"/>
      <c r="G55" s="483"/>
      <c r="H55" s="483"/>
      <c r="I55" s="483"/>
      <c r="J55" s="483"/>
      <c r="K55" s="483"/>
      <c r="L55" s="484"/>
      <c r="M55" s="484"/>
      <c r="N55" s="485"/>
      <c r="O55" s="436"/>
      <c r="P55" s="451"/>
      <c r="Q55" s="451"/>
      <c r="R55" s="436"/>
      <c r="S55" s="436"/>
      <c r="T55" s="428"/>
      <c r="U55" s="429"/>
      <c r="V55" s="428"/>
      <c r="W55" s="428"/>
      <c r="X55" s="428"/>
      <c r="Y55" s="427"/>
      <c r="Z55" s="283"/>
      <c r="AA55" s="283"/>
    </row>
    <row r="56" spans="1:41" ht="62.25" customHeight="1">
      <c r="A56" s="437"/>
      <c r="B56" s="486"/>
      <c r="C56" s="437"/>
      <c r="D56" s="487"/>
      <c r="E56" s="487"/>
      <c r="F56" s="487"/>
      <c r="G56" s="487"/>
      <c r="H56" s="487"/>
      <c r="I56" s="487"/>
      <c r="J56" s="487"/>
      <c r="K56" s="450"/>
      <c r="L56" s="488"/>
      <c r="M56" s="488"/>
      <c r="N56" s="489"/>
      <c r="O56" s="490"/>
      <c r="P56" s="450"/>
      <c r="Q56" s="450"/>
      <c r="R56" s="490"/>
      <c r="S56" s="491"/>
      <c r="T56" s="492"/>
      <c r="U56" s="450"/>
      <c r="V56" s="428"/>
      <c r="W56" s="428"/>
      <c r="X56" s="428"/>
      <c r="Y56" s="427"/>
      <c r="Z56" s="283"/>
      <c r="AA56" s="283"/>
    </row>
    <row r="57" spans="1:41">
      <c r="A57" s="426"/>
      <c r="B57" s="493"/>
      <c r="C57" s="467"/>
      <c r="D57" s="494"/>
      <c r="E57" s="454"/>
      <c r="F57" s="454"/>
      <c r="G57" s="454"/>
      <c r="H57" s="454"/>
      <c r="I57" s="454"/>
      <c r="J57" s="454"/>
      <c r="K57" s="454"/>
      <c r="L57" s="495"/>
      <c r="M57" s="495"/>
      <c r="N57" s="496"/>
      <c r="O57" s="497"/>
      <c r="P57" s="498"/>
      <c r="Q57" s="498"/>
      <c r="R57" s="445"/>
      <c r="S57" s="499"/>
      <c r="T57" s="500"/>
      <c r="U57" s="500"/>
      <c r="V57" s="428"/>
      <c r="W57" s="428"/>
      <c r="X57" s="428"/>
      <c r="Y57" s="427"/>
      <c r="Z57" s="283"/>
      <c r="AA57" s="283"/>
    </row>
    <row r="58" spans="1:41">
      <c r="A58" s="439"/>
      <c r="B58" s="440"/>
      <c r="C58" s="482"/>
      <c r="D58" s="501"/>
      <c r="E58" s="501"/>
      <c r="F58" s="501"/>
      <c r="G58" s="501"/>
      <c r="H58" s="501"/>
      <c r="I58" s="501"/>
      <c r="J58" s="501"/>
      <c r="K58" s="501"/>
      <c r="L58" s="502"/>
      <c r="M58" s="502"/>
      <c r="N58" s="503"/>
      <c r="O58" s="504"/>
      <c r="P58" s="505"/>
      <c r="Q58" s="505"/>
      <c r="R58" s="506"/>
      <c r="S58" s="507"/>
      <c r="T58" s="508"/>
      <c r="U58" s="508"/>
      <c r="V58" s="428"/>
      <c r="W58" s="428"/>
      <c r="X58" s="428"/>
      <c r="Y58" s="427"/>
      <c r="Z58" s="283"/>
      <c r="AA58" s="283"/>
    </row>
    <row r="59" spans="1:41" ht="18" customHeight="1">
      <c r="A59" s="437"/>
      <c r="B59" s="437"/>
      <c r="C59" s="437"/>
      <c r="D59" s="437"/>
      <c r="E59" s="509"/>
      <c r="F59" s="437"/>
      <c r="G59" s="510"/>
      <c r="H59" s="437"/>
      <c r="I59" s="437"/>
      <c r="J59" s="437"/>
      <c r="K59" s="428"/>
      <c r="L59" s="511"/>
      <c r="M59" s="511"/>
      <c r="N59" s="512"/>
      <c r="O59" s="490"/>
      <c r="P59" s="450"/>
      <c r="Q59" s="491"/>
      <c r="R59" s="490"/>
      <c r="S59" s="491"/>
      <c r="T59" s="450"/>
      <c r="U59" s="450"/>
      <c r="V59" s="428"/>
      <c r="W59" s="513"/>
      <c r="X59" s="514"/>
      <c r="Y59" s="427"/>
      <c r="Z59" s="283"/>
      <c r="AA59" s="283"/>
    </row>
    <row r="60" spans="1:41">
      <c r="A60" s="426"/>
      <c r="B60" s="431"/>
      <c r="C60" s="442"/>
      <c r="D60" s="515"/>
      <c r="E60" s="516"/>
      <c r="F60" s="516"/>
      <c r="G60" s="517"/>
      <c r="H60" s="516"/>
      <c r="I60" s="516"/>
      <c r="J60" s="518"/>
      <c r="K60" s="451"/>
      <c r="L60" s="519"/>
      <c r="M60" s="519"/>
      <c r="N60" s="520"/>
      <c r="O60" s="497"/>
      <c r="P60" s="521"/>
      <c r="Q60" s="521"/>
      <c r="R60" s="445"/>
      <c r="S60" s="499"/>
      <c r="T60" s="451"/>
      <c r="U60" s="500"/>
      <c r="V60" s="522"/>
      <c r="W60" s="513"/>
      <c r="X60" s="514"/>
      <c r="Y60" s="427"/>
      <c r="Z60" s="283"/>
      <c r="AA60" s="283"/>
    </row>
    <row r="61" spans="1:41">
      <c r="A61" s="426"/>
      <c r="B61" s="431"/>
      <c r="C61" s="442"/>
      <c r="D61" s="515"/>
      <c r="E61" s="516"/>
      <c r="F61" s="516"/>
      <c r="G61" s="517"/>
      <c r="H61" s="516"/>
      <c r="I61" s="516"/>
      <c r="J61" s="518"/>
      <c r="K61" s="451"/>
      <c r="L61" s="519"/>
      <c r="M61" s="519"/>
      <c r="N61" s="520"/>
      <c r="O61" s="497"/>
      <c r="P61" s="521"/>
      <c r="Q61" s="521"/>
      <c r="R61" s="445"/>
      <c r="S61" s="499"/>
      <c r="T61" s="451"/>
      <c r="U61" s="500"/>
      <c r="V61" s="522"/>
      <c r="W61" s="513"/>
      <c r="X61" s="514"/>
      <c r="Y61" s="427"/>
      <c r="Z61" s="283"/>
      <c r="AA61" s="283"/>
    </row>
    <row r="62" spans="1:41" hidden="1">
      <c r="A62" s="426"/>
      <c r="B62" s="432"/>
      <c r="C62" s="442"/>
      <c r="D62" s="515"/>
      <c r="E62" s="516"/>
      <c r="F62" s="516"/>
      <c r="G62" s="517"/>
      <c r="H62" s="516"/>
      <c r="I62" s="516"/>
      <c r="J62" s="518"/>
      <c r="K62" s="451"/>
      <c r="L62" s="519"/>
      <c r="M62" s="519"/>
      <c r="N62" s="520"/>
      <c r="O62" s="497"/>
      <c r="P62" s="521"/>
      <c r="Q62" s="521"/>
      <c r="R62" s="445"/>
      <c r="S62" s="499"/>
      <c r="T62" s="451"/>
      <c r="U62" s="500"/>
      <c r="V62" s="428"/>
      <c r="W62" s="513"/>
      <c r="X62" s="514"/>
      <c r="Y62" s="427"/>
      <c r="Z62" s="283"/>
      <c r="AA62" s="283"/>
    </row>
    <row r="63" spans="1:41">
      <c r="A63" s="426"/>
      <c r="B63" s="432"/>
      <c r="C63" s="442"/>
      <c r="D63" s="515"/>
      <c r="E63" s="516"/>
      <c r="F63" s="516"/>
      <c r="G63" s="517"/>
      <c r="H63" s="516"/>
      <c r="I63" s="516"/>
      <c r="J63" s="518"/>
      <c r="K63" s="451"/>
      <c r="L63" s="519"/>
      <c r="M63" s="519"/>
      <c r="N63" s="520"/>
      <c r="O63" s="497"/>
      <c r="P63" s="521"/>
      <c r="Q63" s="521"/>
      <c r="R63" s="445"/>
      <c r="S63" s="499"/>
      <c r="T63" s="451"/>
      <c r="U63" s="500"/>
      <c r="V63" s="428"/>
      <c r="W63" s="513"/>
      <c r="X63" s="523"/>
      <c r="Y63" s="427"/>
      <c r="Z63" s="283"/>
      <c r="AA63" s="283"/>
    </row>
    <row r="64" spans="1:41">
      <c r="A64" s="426"/>
      <c r="B64" s="432"/>
      <c r="C64" s="442"/>
      <c r="D64" s="515"/>
      <c r="E64" s="516"/>
      <c r="F64" s="516"/>
      <c r="G64" s="517"/>
      <c r="H64" s="516"/>
      <c r="I64" s="516"/>
      <c r="J64" s="518"/>
      <c r="K64" s="451"/>
      <c r="L64" s="519"/>
      <c r="M64" s="519"/>
      <c r="N64" s="520"/>
      <c r="O64" s="497"/>
      <c r="P64" s="521"/>
      <c r="Q64" s="521"/>
      <c r="R64" s="445"/>
      <c r="S64" s="499"/>
      <c r="T64" s="451"/>
      <c r="U64" s="500"/>
      <c r="V64" s="428"/>
      <c r="W64" s="283"/>
      <c r="X64" s="283"/>
      <c r="Y64" s="427"/>
      <c r="Z64" s="283"/>
      <c r="AA64" s="283"/>
    </row>
    <row r="65" spans="1:27">
      <c r="A65" s="426"/>
      <c r="B65" s="432"/>
      <c r="C65" s="442"/>
      <c r="D65" s="515"/>
      <c r="E65" s="516"/>
      <c r="F65" s="516"/>
      <c r="G65" s="517"/>
      <c r="H65" s="516"/>
      <c r="I65" s="516"/>
      <c r="J65" s="518"/>
      <c r="K65" s="451"/>
      <c r="L65" s="519"/>
      <c r="M65" s="519"/>
      <c r="N65" s="520"/>
      <c r="O65" s="497"/>
      <c r="P65" s="521"/>
      <c r="Q65" s="521"/>
      <c r="R65" s="445"/>
      <c r="S65" s="499"/>
      <c r="T65" s="451"/>
      <c r="U65" s="500"/>
      <c r="V65" s="428"/>
      <c r="W65" s="428"/>
      <c r="X65" s="428"/>
      <c r="Y65" s="427"/>
      <c r="Z65" s="283"/>
      <c r="AA65" s="283"/>
    </row>
    <row r="66" spans="1:27">
      <c r="A66" s="426"/>
      <c r="B66" s="432"/>
      <c r="C66" s="442"/>
      <c r="D66" s="515"/>
      <c r="E66" s="516"/>
      <c r="F66" s="516"/>
      <c r="G66" s="517"/>
      <c r="H66" s="516"/>
      <c r="I66" s="516"/>
      <c r="J66" s="518"/>
      <c r="K66" s="451"/>
      <c r="L66" s="519"/>
      <c r="M66" s="519"/>
      <c r="N66" s="520"/>
      <c r="O66" s="497"/>
      <c r="P66" s="521"/>
      <c r="Q66" s="521"/>
      <c r="R66" s="445"/>
      <c r="S66" s="499"/>
      <c r="T66" s="451"/>
      <c r="U66" s="500"/>
      <c r="V66" s="428"/>
      <c r="W66" s="428"/>
      <c r="X66" s="428"/>
      <c r="Y66" s="427"/>
      <c r="Z66" s="283"/>
      <c r="AA66" s="283"/>
    </row>
    <row r="67" spans="1:27">
      <c r="A67" s="426"/>
      <c r="B67" s="432"/>
      <c r="C67" s="442"/>
      <c r="D67" s="515"/>
      <c r="E67" s="516"/>
      <c r="F67" s="516"/>
      <c r="G67" s="517"/>
      <c r="H67" s="516"/>
      <c r="I67" s="516"/>
      <c r="J67" s="518"/>
      <c r="K67" s="451"/>
      <c r="L67" s="519"/>
      <c r="M67" s="519"/>
      <c r="N67" s="520"/>
      <c r="O67" s="497"/>
      <c r="P67" s="521"/>
      <c r="Q67" s="521"/>
      <c r="R67" s="445"/>
      <c r="S67" s="499"/>
      <c r="T67" s="451"/>
      <c r="U67" s="500"/>
      <c r="V67" s="428"/>
      <c r="W67" s="428"/>
      <c r="X67" s="428"/>
      <c r="Y67" s="427"/>
      <c r="Z67" s="283"/>
      <c r="AA67" s="283"/>
    </row>
    <row r="68" spans="1:27">
      <c r="A68" s="426"/>
      <c r="B68" s="432"/>
      <c r="C68" s="442"/>
      <c r="D68" s="515"/>
      <c r="E68" s="516"/>
      <c r="F68" s="516"/>
      <c r="G68" s="517"/>
      <c r="H68" s="516"/>
      <c r="I68" s="516"/>
      <c r="J68" s="518"/>
      <c r="K68" s="451"/>
      <c r="L68" s="519"/>
      <c r="M68" s="519"/>
      <c r="N68" s="520"/>
      <c r="O68" s="497"/>
      <c r="P68" s="521"/>
      <c r="Q68" s="521"/>
      <c r="R68" s="445"/>
      <c r="S68" s="499"/>
      <c r="T68" s="451"/>
      <c r="U68" s="500"/>
      <c r="V68" s="428"/>
      <c r="W68" s="428"/>
      <c r="X68" s="428"/>
      <c r="Y68" s="427"/>
      <c r="Z68" s="283"/>
      <c r="AA68" s="283"/>
    </row>
    <row r="69" spans="1:27">
      <c r="A69" s="426"/>
      <c r="B69" s="432"/>
      <c r="C69" s="442"/>
      <c r="D69" s="515"/>
      <c r="E69" s="516"/>
      <c r="F69" s="516"/>
      <c r="G69" s="517"/>
      <c r="H69" s="516"/>
      <c r="I69" s="516"/>
      <c r="J69" s="518"/>
      <c r="K69" s="451"/>
      <c r="L69" s="519"/>
      <c r="M69" s="519"/>
      <c r="N69" s="520"/>
      <c r="O69" s="497"/>
      <c r="P69" s="521"/>
      <c r="Q69" s="521"/>
      <c r="R69" s="445"/>
      <c r="S69" s="499"/>
      <c r="T69" s="451"/>
      <c r="U69" s="500"/>
      <c r="V69" s="428"/>
      <c r="W69" s="428"/>
      <c r="X69" s="428"/>
      <c r="Y69" s="427"/>
      <c r="Z69" s="283"/>
      <c r="AA69" s="283"/>
    </row>
    <row r="70" spans="1:27">
      <c r="A70" s="426"/>
      <c r="B70" s="432"/>
      <c r="C70" s="442"/>
      <c r="D70" s="515"/>
      <c r="E70" s="516"/>
      <c r="F70" s="516"/>
      <c r="G70" s="517"/>
      <c r="H70" s="516"/>
      <c r="I70" s="516"/>
      <c r="J70" s="518"/>
      <c r="K70" s="451"/>
      <c r="L70" s="519"/>
      <c r="M70" s="519"/>
      <c r="N70" s="520"/>
      <c r="O70" s="497"/>
      <c r="P70" s="521"/>
      <c r="Q70" s="521"/>
      <c r="R70" s="445"/>
      <c r="S70" s="499"/>
      <c r="T70" s="451"/>
      <c r="U70" s="500"/>
      <c r="V70" s="428"/>
      <c r="W70" s="428"/>
      <c r="X70" s="428"/>
      <c r="Y70" s="427"/>
      <c r="Z70" s="283"/>
      <c r="AA70" s="283"/>
    </row>
    <row r="71" spans="1:27" hidden="1">
      <c r="A71" s="426"/>
      <c r="B71" s="432"/>
      <c r="C71" s="442"/>
      <c r="D71" s="515"/>
      <c r="E71" s="516"/>
      <c r="F71" s="516"/>
      <c r="G71" s="517"/>
      <c r="H71" s="516"/>
      <c r="I71" s="516"/>
      <c r="J71" s="518"/>
      <c r="K71" s="451"/>
      <c r="L71" s="519"/>
      <c r="M71" s="519"/>
      <c r="N71" s="520"/>
      <c r="O71" s="497"/>
      <c r="P71" s="521"/>
      <c r="Q71" s="521"/>
      <c r="R71" s="445"/>
      <c r="S71" s="499"/>
      <c r="T71" s="451"/>
      <c r="U71" s="500"/>
      <c r="V71" s="428"/>
      <c r="W71" s="428"/>
      <c r="X71" s="428"/>
      <c r="Y71" s="427"/>
      <c r="Z71" s="283"/>
      <c r="AA71" s="283"/>
    </row>
    <row r="72" spans="1:27">
      <c r="A72" s="426"/>
      <c r="B72" s="432"/>
      <c r="C72" s="442"/>
      <c r="D72" s="515"/>
      <c r="E72" s="516"/>
      <c r="F72" s="516"/>
      <c r="G72" s="517"/>
      <c r="H72" s="516"/>
      <c r="I72" s="516"/>
      <c r="J72" s="518"/>
      <c r="K72" s="451"/>
      <c r="L72" s="519"/>
      <c r="M72" s="519"/>
      <c r="N72" s="520"/>
      <c r="O72" s="497"/>
      <c r="P72" s="521"/>
      <c r="Q72" s="521"/>
      <c r="R72" s="445"/>
      <c r="S72" s="499"/>
      <c r="T72" s="451"/>
      <c r="U72" s="500"/>
      <c r="V72" s="428"/>
      <c r="W72" s="428"/>
      <c r="X72" s="428"/>
      <c r="Y72" s="427"/>
      <c r="Z72" s="283"/>
      <c r="AA72" s="283"/>
    </row>
    <row r="73" spans="1:27" hidden="1">
      <c r="A73" s="426"/>
      <c r="B73" s="432"/>
      <c r="C73" s="442"/>
      <c r="D73" s="515"/>
      <c r="E73" s="516"/>
      <c r="F73" s="516"/>
      <c r="G73" s="517"/>
      <c r="H73" s="516"/>
      <c r="I73" s="516"/>
      <c r="J73" s="518"/>
      <c r="K73" s="451"/>
      <c r="L73" s="519"/>
      <c r="M73" s="519"/>
      <c r="N73" s="520"/>
      <c r="O73" s="497"/>
      <c r="P73" s="521"/>
      <c r="Q73" s="521"/>
      <c r="R73" s="445"/>
      <c r="S73" s="499"/>
      <c r="T73" s="451"/>
      <c r="U73" s="500"/>
      <c r="V73" s="428"/>
      <c r="W73" s="428"/>
      <c r="X73" s="428"/>
      <c r="Y73" s="427"/>
      <c r="Z73" s="283"/>
      <c r="AA73" s="283"/>
    </row>
    <row r="74" spans="1:27" hidden="1">
      <c r="A74" s="426"/>
      <c r="B74" s="432"/>
      <c r="C74" s="442"/>
      <c r="D74" s="515"/>
      <c r="E74" s="516"/>
      <c r="F74" s="516"/>
      <c r="G74" s="517"/>
      <c r="H74" s="516"/>
      <c r="I74" s="516"/>
      <c r="J74" s="518"/>
      <c r="K74" s="451"/>
      <c r="L74" s="519"/>
      <c r="M74" s="519"/>
      <c r="N74" s="520"/>
      <c r="O74" s="497"/>
      <c r="P74" s="521"/>
      <c r="Q74" s="521"/>
      <c r="R74" s="445"/>
      <c r="S74" s="499"/>
      <c r="T74" s="451"/>
      <c r="U74" s="500"/>
      <c r="V74" s="428"/>
      <c r="W74" s="428"/>
      <c r="X74" s="428"/>
      <c r="Y74" s="427"/>
      <c r="Z74" s="283"/>
      <c r="AA74" s="283"/>
    </row>
    <row r="75" spans="1:27">
      <c r="A75" s="426"/>
      <c r="B75" s="432"/>
      <c r="C75" s="442"/>
      <c r="D75" s="515"/>
      <c r="E75" s="516"/>
      <c r="F75" s="516"/>
      <c r="G75" s="517"/>
      <c r="H75" s="516"/>
      <c r="I75" s="516"/>
      <c r="J75" s="518"/>
      <c r="K75" s="451"/>
      <c r="L75" s="519"/>
      <c r="M75" s="519"/>
      <c r="N75" s="520"/>
      <c r="O75" s="497"/>
      <c r="P75" s="521"/>
      <c r="Q75" s="521"/>
      <c r="R75" s="445"/>
      <c r="S75" s="499"/>
      <c r="T75" s="451"/>
      <c r="U75" s="500"/>
      <c r="V75" s="428"/>
      <c r="W75" s="428"/>
      <c r="X75" s="428"/>
      <c r="Y75" s="427"/>
      <c r="Z75" s="283"/>
      <c r="AA75" s="283"/>
    </row>
    <row r="76" spans="1:27" hidden="1">
      <c r="A76" s="426"/>
      <c r="B76" s="432"/>
      <c r="C76" s="442"/>
      <c r="D76" s="515"/>
      <c r="E76" s="516"/>
      <c r="F76" s="516"/>
      <c r="G76" s="517"/>
      <c r="H76" s="516"/>
      <c r="I76" s="516"/>
      <c r="J76" s="518"/>
      <c r="K76" s="451"/>
      <c r="L76" s="519"/>
      <c r="M76" s="519"/>
      <c r="N76" s="520"/>
      <c r="O76" s="497"/>
      <c r="P76" s="521"/>
      <c r="Q76" s="521"/>
      <c r="R76" s="445"/>
      <c r="S76" s="499"/>
      <c r="T76" s="451"/>
      <c r="U76" s="500"/>
      <c r="V76" s="428"/>
      <c r="W76" s="428"/>
      <c r="X76" s="428"/>
      <c r="Y76" s="427"/>
      <c r="Z76" s="283"/>
      <c r="AA76" s="283"/>
    </row>
    <row r="77" spans="1:27">
      <c r="A77" s="426"/>
      <c r="B77" s="438"/>
      <c r="C77" s="442"/>
      <c r="D77" s="515"/>
      <c r="E77" s="516"/>
      <c r="F77" s="516"/>
      <c r="G77" s="517"/>
      <c r="H77" s="516"/>
      <c r="I77" s="516"/>
      <c r="J77" s="518"/>
      <c r="K77" s="451"/>
      <c r="L77" s="519"/>
      <c r="M77" s="519"/>
      <c r="N77" s="520"/>
      <c r="O77" s="497"/>
      <c r="P77" s="521"/>
      <c r="Q77" s="521"/>
      <c r="R77" s="445"/>
      <c r="S77" s="499"/>
      <c r="T77" s="451"/>
      <c r="U77" s="500"/>
      <c r="V77" s="428"/>
      <c r="W77" s="428"/>
      <c r="X77" s="428"/>
      <c r="Y77" s="427"/>
      <c r="Z77" s="283"/>
      <c r="AA77" s="283"/>
    </row>
    <row r="78" spans="1:27">
      <c r="A78" s="426"/>
      <c r="B78" s="438"/>
      <c r="C78" s="442"/>
      <c r="D78" s="515"/>
      <c r="E78" s="516"/>
      <c r="F78" s="516"/>
      <c r="G78" s="517"/>
      <c r="H78" s="516"/>
      <c r="I78" s="516"/>
      <c r="J78" s="518"/>
      <c r="K78" s="451"/>
      <c r="L78" s="519"/>
      <c r="M78" s="519"/>
      <c r="N78" s="520"/>
      <c r="O78" s="497"/>
      <c r="P78" s="521"/>
      <c r="Q78" s="521"/>
      <c r="R78" s="445"/>
      <c r="S78" s="499"/>
      <c r="T78" s="451"/>
      <c r="U78" s="500"/>
      <c r="V78" s="428"/>
      <c r="W78" s="428"/>
      <c r="X78" s="428"/>
      <c r="Y78" s="427"/>
      <c r="Z78" s="283"/>
      <c r="AA78" s="283"/>
    </row>
    <row r="79" spans="1:27" hidden="1">
      <c r="A79" s="426"/>
      <c r="B79" s="438"/>
      <c r="C79" s="442"/>
      <c r="D79" s="515"/>
      <c r="E79" s="516"/>
      <c r="F79" s="516"/>
      <c r="G79" s="517"/>
      <c r="H79" s="516"/>
      <c r="I79" s="516"/>
      <c r="J79" s="518"/>
      <c r="K79" s="451"/>
      <c r="L79" s="519"/>
      <c r="M79" s="519"/>
      <c r="N79" s="520"/>
      <c r="O79" s="497"/>
      <c r="P79" s="521"/>
      <c r="Q79" s="521"/>
      <c r="R79" s="445"/>
      <c r="S79" s="499"/>
      <c r="T79" s="451"/>
      <c r="U79" s="500"/>
      <c r="V79" s="428"/>
      <c r="W79" s="428"/>
      <c r="X79" s="428"/>
      <c r="Y79" s="427"/>
      <c r="Z79" s="283"/>
      <c r="AA79" s="283"/>
    </row>
    <row r="80" spans="1:27">
      <c r="A80" s="426"/>
      <c r="B80" s="438"/>
      <c r="C80" s="442"/>
      <c r="D80" s="515"/>
      <c r="E80" s="516"/>
      <c r="F80" s="516"/>
      <c r="G80" s="517"/>
      <c r="H80" s="516"/>
      <c r="I80" s="516"/>
      <c r="J80" s="518"/>
      <c r="K80" s="451"/>
      <c r="L80" s="519"/>
      <c r="M80" s="519"/>
      <c r="N80" s="520"/>
      <c r="O80" s="497"/>
      <c r="P80" s="521"/>
      <c r="Q80" s="521"/>
      <c r="R80" s="445"/>
      <c r="S80" s="499"/>
      <c r="T80" s="451"/>
      <c r="U80" s="500"/>
      <c r="V80" s="428"/>
      <c r="W80" s="428"/>
      <c r="X80" s="428"/>
      <c r="Y80" s="427"/>
      <c r="Z80" s="283"/>
      <c r="AA80" s="283"/>
    </row>
    <row r="81" spans="1:27">
      <c r="A81" s="426"/>
      <c r="B81" s="438"/>
      <c r="C81" s="442"/>
      <c r="D81" s="515"/>
      <c r="E81" s="516"/>
      <c r="F81" s="516"/>
      <c r="G81" s="517"/>
      <c r="H81" s="516"/>
      <c r="I81" s="516"/>
      <c r="J81" s="518"/>
      <c r="K81" s="451"/>
      <c r="L81" s="519"/>
      <c r="M81" s="519"/>
      <c r="N81" s="520"/>
      <c r="O81" s="497"/>
      <c r="P81" s="521"/>
      <c r="Q81" s="521"/>
      <c r="R81" s="445"/>
      <c r="S81" s="499"/>
      <c r="T81" s="451"/>
      <c r="U81" s="500"/>
      <c r="V81" s="428"/>
      <c r="W81" s="428"/>
      <c r="X81" s="428"/>
      <c r="Y81" s="427"/>
      <c r="Z81" s="283"/>
      <c r="AA81" s="283"/>
    </row>
    <row r="82" spans="1:27">
      <c r="A82" s="426"/>
      <c r="B82" s="432"/>
      <c r="C82" s="442"/>
      <c r="D82" s="515"/>
      <c r="E82" s="516"/>
      <c r="F82" s="516"/>
      <c r="G82" s="517"/>
      <c r="H82" s="516"/>
      <c r="I82" s="516"/>
      <c r="J82" s="518"/>
      <c r="K82" s="451"/>
      <c r="L82" s="519"/>
      <c r="M82" s="519"/>
      <c r="N82" s="520"/>
      <c r="O82" s="497"/>
      <c r="P82" s="521"/>
      <c r="Q82" s="521"/>
      <c r="R82" s="445"/>
      <c r="S82" s="499"/>
      <c r="T82" s="451"/>
      <c r="U82" s="500"/>
      <c r="V82" s="428"/>
      <c r="W82" s="428"/>
      <c r="X82" s="428"/>
      <c r="Y82" s="427"/>
      <c r="Z82" s="283"/>
      <c r="AA82" s="283"/>
    </row>
    <row r="83" spans="1:27">
      <c r="A83" s="426"/>
      <c r="B83" s="432"/>
      <c r="C83" s="442"/>
      <c r="D83" s="515"/>
      <c r="E83" s="516"/>
      <c r="F83" s="516"/>
      <c r="G83" s="517"/>
      <c r="H83" s="516"/>
      <c r="I83" s="516"/>
      <c r="J83" s="518"/>
      <c r="K83" s="451"/>
      <c r="L83" s="519"/>
      <c r="M83" s="519"/>
      <c r="N83" s="520"/>
      <c r="O83" s="497"/>
      <c r="P83" s="521"/>
      <c r="Q83" s="521"/>
      <c r="R83" s="445"/>
      <c r="S83" s="499"/>
      <c r="T83" s="451"/>
      <c r="U83" s="500"/>
      <c r="V83" s="428"/>
      <c r="W83" s="428"/>
      <c r="X83" s="428"/>
      <c r="Y83" s="427"/>
      <c r="Z83" s="283"/>
      <c r="AA83" s="283"/>
    </row>
    <row r="84" spans="1:27">
      <c r="A84" s="426"/>
      <c r="B84" s="432"/>
      <c r="C84" s="442"/>
      <c r="D84" s="515"/>
      <c r="E84" s="516"/>
      <c r="F84" s="516"/>
      <c r="G84" s="517"/>
      <c r="H84" s="516"/>
      <c r="I84" s="516"/>
      <c r="J84" s="518"/>
      <c r="K84" s="451"/>
      <c r="L84" s="519"/>
      <c r="M84" s="519"/>
      <c r="N84" s="520"/>
      <c r="O84" s="497"/>
      <c r="P84" s="521"/>
      <c r="Q84" s="521"/>
      <c r="R84" s="445"/>
      <c r="S84" s="499"/>
      <c r="T84" s="451"/>
      <c r="U84" s="500"/>
      <c r="V84" s="428"/>
      <c r="W84" s="428"/>
      <c r="X84" s="428"/>
      <c r="Y84" s="427"/>
      <c r="Z84" s="283"/>
      <c r="AA84" s="283"/>
    </row>
    <row r="85" spans="1:27">
      <c r="A85" s="426"/>
      <c r="B85" s="432"/>
      <c r="C85" s="442"/>
      <c r="D85" s="515"/>
      <c r="E85" s="516"/>
      <c r="F85" s="516"/>
      <c r="G85" s="517"/>
      <c r="H85" s="516"/>
      <c r="I85" s="516"/>
      <c r="J85" s="518"/>
      <c r="K85" s="451"/>
      <c r="L85" s="519"/>
      <c r="M85" s="519"/>
      <c r="N85" s="520"/>
      <c r="O85" s="497"/>
      <c r="P85" s="521"/>
      <c r="Q85" s="521"/>
      <c r="R85" s="445"/>
      <c r="S85" s="499"/>
      <c r="T85" s="451"/>
      <c r="U85" s="500"/>
      <c r="V85" s="428"/>
      <c r="W85" s="428"/>
      <c r="X85" s="428"/>
      <c r="Y85" s="427"/>
      <c r="Z85" s="283"/>
      <c r="AA85" s="283"/>
    </row>
    <row r="86" spans="1:27">
      <c r="A86" s="426"/>
      <c r="B86" s="432"/>
      <c r="C86" s="442"/>
      <c r="D86" s="515"/>
      <c r="E86" s="516"/>
      <c r="F86" s="516"/>
      <c r="G86" s="517"/>
      <c r="H86" s="516"/>
      <c r="I86" s="516"/>
      <c r="J86" s="518"/>
      <c r="K86" s="451"/>
      <c r="L86" s="519"/>
      <c r="M86" s="519"/>
      <c r="N86" s="520"/>
      <c r="O86" s="497"/>
      <c r="P86" s="521"/>
      <c r="Q86" s="521"/>
      <c r="R86" s="445"/>
      <c r="S86" s="499"/>
      <c r="T86" s="451"/>
      <c r="U86" s="500"/>
      <c r="V86" s="428"/>
      <c r="W86" s="428"/>
      <c r="X86" s="428"/>
      <c r="Y86" s="427"/>
      <c r="Z86" s="283"/>
      <c r="AA86" s="283"/>
    </row>
    <row r="87" spans="1:27">
      <c r="A87" s="524"/>
      <c r="B87" s="432"/>
      <c r="C87" s="442"/>
      <c r="D87" s="515"/>
      <c r="E87" s="516"/>
      <c r="F87" s="516"/>
      <c r="G87" s="517"/>
      <c r="H87" s="516"/>
      <c r="I87" s="516"/>
      <c r="J87" s="518"/>
      <c r="K87" s="518"/>
      <c r="L87" s="519"/>
      <c r="M87" s="519"/>
      <c r="N87" s="520"/>
      <c r="O87" s="497"/>
      <c r="P87" s="451"/>
      <c r="Q87" s="521"/>
      <c r="R87" s="445"/>
      <c r="S87" s="525"/>
      <c r="T87" s="526"/>
      <c r="U87" s="527"/>
      <c r="V87" s="428"/>
      <c r="W87" s="428"/>
      <c r="X87" s="428"/>
      <c r="Y87" s="427"/>
      <c r="Z87" s="283"/>
      <c r="AA87" s="283"/>
    </row>
    <row r="88" spans="1:27">
      <c r="A88" s="524"/>
      <c r="B88" s="501"/>
      <c r="C88" s="528"/>
      <c r="D88" s="475"/>
      <c r="E88" s="529"/>
      <c r="F88" s="529"/>
      <c r="G88" s="529"/>
      <c r="H88" s="475"/>
      <c r="I88" s="475"/>
      <c r="J88" s="530"/>
      <c r="K88" s="475"/>
      <c r="L88" s="519"/>
      <c r="M88" s="519"/>
      <c r="N88" s="521"/>
      <c r="O88" s="531"/>
      <c r="P88" s="451"/>
      <c r="Q88" s="451"/>
      <c r="R88" s="445"/>
      <c r="S88" s="532"/>
      <c r="T88" s="526"/>
      <c r="U88" s="283"/>
      <c r="V88" s="428"/>
      <c r="W88" s="428"/>
      <c r="X88" s="428"/>
      <c r="Y88" s="427"/>
      <c r="Z88" s="283"/>
      <c r="AA88" s="283"/>
    </row>
    <row r="89" spans="1:27">
      <c r="A89" s="524"/>
      <c r="B89" s="524"/>
      <c r="C89" s="533"/>
      <c r="D89" s="475"/>
      <c r="E89" s="475"/>
      <c r="F89" s="534"/>
      <c r="G89" s="428"/>
      <c r="H89" s="475"/>
      <c r="I89" s="475"/>
      <c r="J89" s="475"/>
      <c r="K89" s="475"/>
      <c r="L89" s="519"/>
      <c r="M89" s="519"/>
      <c r="N89" s="521"/>
      <c r="O89" s="532"/>
      <c r="P89" s="532"/>
      <c r="Q89" s="532"/>
      <c r="R89" s="444"/>
      <c r="S89" s="524"/>
      <c r="T89" s="535"/>
      <c r="U89" s="428"/>
      <c r="V89" s="428"/>
      <c r="W89" s="428"/>
      <c r="X89" s="428"/>
      <c r="Y89" s="427"/>
      <c r="Z89" s="283"/>
      <c r="AA89" s="283"/>
    </row>
    <row r="90" spans="1:27">
      <c r="A90" s="428"/>
      <c r="B90" s="443"/>
      <c r="C90" s="283"/>
      <c r="D90" s="536"/>
      <c r="E90" s="536"/>
      <c r="F90" s="536"/>
      <c r="G90" s="536"/>
      <c r="H90" s="536"/>
      <c r="I90" s="536"/>
      <c r="J90" s="536"/>
      <c r="K90" s="536"/>
      <c r="L90" s="537"/>
      <c r="M90" s="537"/>
      <c r="N90" s="451"/>
      <c r="O90" s="536"/>
      <c r="P90" s="536"/>
      <c r="Q90" s="536"/>
      <c r="R90" s="538"/>
      <c r="S90" s="536"/>
      <c r="T90" s="538"/>
      <c r="U90" s="539"/>
      <c r="V90" s="428"/>
      <c r="W90" s="428"/>
      <c r="X90" s="428"/>
      <c r="Y90" s="427"/>
      <c r="Z90" s="283"/>
      <c r="AA90" s="283"/>
    </row>
    <row r="91" spans="1:27">
      <c r="A91" s="428"/>
      <c r="B91" s="443"/>
      <c r="C91" s="283"/>
      <c r="D91" s="540"/>
      <c r="E91" s="540"/>
      <c r="F91" s="540"/>
      <c r="G91" s="540"/>
      <c r="H91" s="540"/>
      <c r="I91" s="540"/>
      <c r="J91" s="540"/>
      <c r="K91" s="540"/>
      <c r="L91" s="541"/>
      <c r="M91" s="541"/>
      <c r="N91" s="283"/>
      <c r="O91" s="540"/>
      <c r="P91" s="540"/>
      <c r="Q91" s="540"/>
      <c r="R91" s="478"/>
      <c r="S91" s="540"/>
      <c r="T91" s="540"/>
      <c r="U91" s="539"/>
      <c r="V91" s="428"/>
      <c r="W91" s="428"/>
      <c r="X91" s="428"/>
      <c r="Y91" s="427"/>
      <c r="Z91" s="283"/>
      <c r="AA91" s="283"/>
    </row>
    <row r="92" spans="1:27">
      <c r="A92" s="428"/>
      <c r="B92" s="443"/>
      <c r="C92" s="542"/>
      <c r="D92" s="543"/>
      <c r="E92" s="543"/>
      <c r="F92" s="543"/>
      <c r="G92" s="543"/>
      <c r="H92" s="543"/>
      <c r="I92" s="543"/>
      <c r="J92" s="543"/>
      <c r="K92" s="543"/>
      <c r="L92" s="544"/>
      <c r="M92" s="544"/>
      <c r="N92" s="283"/>
      <c r="O92" s="542"/>
      <c r="P92" s="543"/>
      <c r="Q92" s="543"/>
      <c r="R92" s="542"/>
      <c r="S92" s="478"/>
      <c r="T92" s="538"/>
      <c r="U92" s="539"/>
      <c r="V92" s="428"/>
      <c r="W92" s="428"/>
      <c r="X92" s="428"/>
      <c r="Y92" s="427"/>
      <c r="Z92" s="283"/>
      <c r="AA92" s="283"/>
    </row>
    <row r="93" spans="1:27">
      <c r="A93" s="428"/>
      <c r="B93" s="443"/>
      <c r="C93" s="283"/>
      <c r="D93" s="536"/>
      <c r="E93" s="536"/>
      <c r="F93" s="536"/>
      <c r="G93" s="536"/>
      <c r="H93" s="536"/>
      <c r="I93" s="536"/>
      <c r="J93" s="536"/>
      <c r="K93" s="536"/>
      <c r="L93" s="537"/>
      <c r="M93" s="537"/>
      <c r="N93" s="283"/>
      <c r="O93" s="469"/>
      <c r="P93" s="536"/>
      <c r="Q93" s="536"/>
      <c r="R93" s="538"/>
      <c r="S93" s="536"/>
      <c r="T93" s="538"/>
      <c r="U93" s="539"/>
      <c r="V93" s="428"/>
      <c r="W93" s="428"/>
      <c r="X93" s="428"/>
      <c r="Y93" s="427"/>
      <c r="Z93" s="283"/>
      <c r="AA93" s="283"/>
    </row>
    <row r="94" spans="1:27">
      <c r="A94" s="428"/>
      <c r="B94" s="443"/>
      <c r="C94" s="283"/>
      <c r="D94" s="545"/>
      <c r="E94" s="545"/>
      <c r="F94" s="545"/>
      <c r="G94" s="545"/>
      <c r="H94" s="545"/>
      <c r="I94" s="545"/>
      <c r="J94" s="545"/>
      <c r="K94" s="545"/>
      <c r="L94" s="546"/>
      <c r="M94" s="546"/>
      <c r="N94" s="283"/>
      <c r="O94" s="478"/>
      <c r="P94" s="545"/>
      <c r="Q94" s="545"/>
      <c r="R94" s="478"/>
      <c r="S94" s="545"/>
      <c r="T94" s="540"/>
      <c r="U94" s="547"/>
      <c r="V94" s="428"/>
      <c r="W94" s="428"/>
      <c r="X94" s="428"/>
      <c r="Y94" s="427"/>
      <c r="Z94" s="283"/>
      <c r="AA94" s="283"/>
    </row>
    <row r="95" spans="1:27">
      <c r="A95" s="441"/>
      <c r="B95" s="438"/>
      <c r="C95" s="442"/>
      <c r="D95" s="548"/>
      <c r="E95" s="548"/>
      <c r="F95" s="548"/>
      <c r="G95" s="548"/>
      <c r="H95" s="548"/>
      <c r="I95" s="548"/>
      <c r="J95" s="548"/>
      <c r="K95" s="548"/>
      <c r="L95" s="549"/>
      <c r="M95" s="549"/>
      <c r="N95" s="442"/>
      <c r="O95" s="550"/>
      <c r="P95" s="551"/>
      <c r="Q95" s="551"/>
      <c r="R95" s="552"/>
      <c r="S95" s="553"/>
      <c r="T95" s="428"/>
      <c r="U95" s="283"/>
      <c r="V95" s="428"/>
      <c r="W95" s="428"/>
      <c r="X95" s="428"/>
      <c r="Y95" s="427"/>
      <c r="Z95" s="283"/>
      <c r="AA95" s="283"/>
    </row>
    <row r="96" spans="1:27">
      <c r="A96" s="441"/>
      <c r="B96" s="438"/>
      <c r="C96" s="442"/>
      <c r="D96" s="554"/>
      <c r="E96" s="554"/>
      <c r="F96" s="554"/>
      <c r="G96" s="554"/>
      <c r="H96" s="554"/>
      <c r="I96" s="554"/>
      <c r="J96" s="554"/>
      <c r="K96" s="554"/>
      <c r="L96" s="555"/>
      <c r="M96" s="555"/>
      <c r="N96" s="442"/>
      <c r="O96" s="552"/>
      <c r="P96" s="551"/>
      <c r="Q96" s="551"/>
      <c r="R96" s="552"/>
      <c r="S96" s="553"/>
      <c r="T96" s="428"/>
      <c r="U96" s="428"/>
      <c r="V96" s="428"/>
      <c r="W96" s="428"/>
      <c r="X96" s="428"/>
      <c r="Y96" s="427"/>
      <c r="Z96" s="283"/>
      <c r="AA96" s="283"/>
    </row>
    <row r="97" spans="1:27">
      <c r="A97" s="441"/>
      <c r="B97" s="432"/>
      <c r="C97" s="442"/>
      <c r="D97" s="548"/>
      <c r="E97" s="548"/>
      <c r="F97" s="548"/>
      <c r="G97" s="548"/>
      <c r="H97" s="548"/>
      <c r="I97" s="548"/>
      <c r="J97" s="548"/>
      <c r="K97" s="548"/>
      <c r="L97" s="549"/>
      <c r="M97" s="549"/>
      <c r="N97" s="442"/>
      <c r="O97" s="556"/>
      <c r="P97" s="557"/>
      <c r="Q97" s="557"/>
      <c r="R97" s="556"/>
      <c r="S97" s="553"/>
      <c r="T97" s="558"/>
      <c r="U97" s="539"/>
      <c r="V97" s="428"/>
      <c r="W97" s="428"/>
      <c r="X97" s="428"/>
      <c r="Y97" s="427"/>
      <c r="Z97" s="283"/>
      <c r="AA97" s="283"/>
    </row>
    <row r="98" spans="1:27">
      <c r="A98" s="441"/>
      <c r="B98" s="432"/>
      <c r="C98" s="442"/>
      <c r="D98" s="548"/>
      <c r="E98" s="548"/>
      <c r="F98" s="548"/>
      <c r="G98" s="548"/>
      <c r="H98" s="548"/>
      <c r="I98" s="548"/>
      <c r="J98" s="548"/>
      <c r="K98" s="548"/>
      <c r="L98" s="549"/>
      <c r="M98" s="549"/>
      <c r="N98" s="442"/>
      <c r="O98" s="559"/>
      <c r="P98" s="559"/>
      <c r="Q98" s="559"/>
      <c r="R98" s="559"/>
      <c r="S98" s="553"/>
      <c r="T98" s="540"/>
      <c r="U98" s="539"/>
      <c r="V98" s="428"/>
      <c r="W98" s="428"/>
      <c r="X98" s="428"/>
      <c r="Y98" s="427"/>
      <c r="Z98" s="283"/>
      <c r="AA98" s="283"/>
    </row>
    <row r="99" spans="1:27">
      <c r="A99" s="441"/>
      <c r="B99" s="432"/>
      <c r="C99" s="442"/>
      <c r="D99" s="548"/>
      <c r="E99" s="548"/>
      <c r="F99" s="548"/>
      <c r="G99" s="548"/>
      <c r="H99" s="548"/>
      <c r="I99" s="548"/>
      <c r="J99" s="548"/>
      <c r="K99" s="548"/>
      <c r="L99" s="549"/>
      <c r="M99" s="549"/>
      <c r="N99" s="442"/>
      <c r="O99" s="559"/>
      <c r="P99" s="559"/>
      <c r="Q99" s="559"/>
      <c r="R99" s="559"/>
      <c r="S99" s="553"/>
      <c r="T99" s="540"/>
      <c r="U99" s="539"/>
      <c r="V99" s="428"/>
      <c r="W99" s="428"/>
      <c r="X99" s="428"/>
      <c r="Y99" s="427"/>
      <c r="Z99" s="283"/>
      <c r="AA99" s="283"/>
    </row>
    <row r="100" spans="1:27">
      <c r="A100" s="441"/>
      <c r="B100" s="432"/>
      <c r="C100" s="442"/>
      <c r="D100" s="554"/>
      <c r="E100" s="554"/>
      <c r="F100" s="554"/>
      <c r="G100" s="554"/>
      <c r="H100" s="554"/>
      <c r="I100" s="554"/>
      <c r="J100" s="554"/>
      <c r="K100" s="554"/>
      <c r="L100" s="555"/>
      <c r="M100" s="555"/>
      <c r="N100" s="442"/>
      <c r="O100" s="559"/>
      <c r="P100" s="560"/>
      <c r="Q100" s="560"/>
      <c r="R100" s="559"/>
      <c r="S100" s="553"/>
      <c r="T100" s="478"/>
      <c r="U100" s="539"/>
      <c r="V100" s="428"/>
      <c r="W100" s="428"/>
      <c r="X100" s="428"/>
      <c r="Y100" s="427"/>
      <c r="Z100" s="283"/>
      <c r="AA100" s="283"/>
    </row>
    <row r="101" spans="1:27">
      <c r="A101" s="441"/>
      <c r="B101" s="432"/>
      <c r="C101" s="442"/>
      <c r="D101" s="561"/>
      <c r="E101" s="561"/>
      <c r="F101" s="561"/>
      <c r="G101" s="561"/>
      <c r="H101" s="561"/>
      <c r="I101" s="561"/>
      <c r="J101" s="561"/>
      <c r="K101" s="561"/>
      <c r="L101" s="562"/>
      <c r="M101" s="562"/>
      <c r="N101" s="442"/>
      <c r="O101" s="559"/>
      <c r="P101" s="557"/>
      <c r="Q101" s="557"/>
      <c r="R101" s="559"/>
      <c r="S101" s="553"/>
      <c r="T101" s="536"/>
      <c r="U101" s="539"/>
      <c r="V101" s="428"/>
      <c r="W101" s="428"/>
      <c r="X101" s="428"/>
      <c r="Y101" s="427"/>
      <c r="Z101" s="283"/>
      <c r="AA101" s="283"/>
    </row>
    <row r="102" spans="1:27">
      <c r="A102" s="435"/>
      <c r="B102" s="443"/>
      <c r="C102" s="442"/>
      <c r="D102" s="554"/>
      <c r="E102" s="554"/>
      <c r="F102" s="554"/>
      <c r="G102" s="554"/>
      <c r="H102" s="554"/>
      <c r="I102" s="554"/>
      <c r="J102" s="554"/>
      <c r="K102" s="554"/>
      <c r="L102" s="555"/>
      <c r="M102" s="555"/>
      <c r="N102" s="435"/>
      <c r="O102" s="559"/>
      <c r="P102" s="557"/>
      <c r="Q102" s="557"/>
      <c r="R102" s="559"/>
      <c r="S102" s="553"/>
      <c r="T102" s="545"/>
      <c r="U102" s="547"/>
      <c r="V102" s="428"/>
      <c r="W102" s="428"/>
      <c r="X102" s="428"/>
      <c r="Y102" s="427"/>
      <c r="Z102" s="283"/>
      <c r="AA102" s="283"/>
    </row>
    <row r="103" spans="1:27">
      <c r="A103" s="444"/>
      <c r="B103" s="436"/>
      <c r="C103" s="445"/>
      <c r="D103" s="563"/>
      <c r="E103" s="563"/>
      <c r="F103" s="563"/>
      <c r="G103" s="563"/>
      <c r="H103" s="563"/>
      <c r="I103" s="563"/>
      <c r="J103" s="563"/>
      <c r="K103" s="563"/>
      <c r="L103" s="564"/>
      <c r="M103" s="564"/>
      <c r="N103" s="436"/>
      <c r="O103" s="565"/>
      <c r="P103" s="565"/>
      <c r="Q103" s="565"/>
      <c r="R103" s="565"/>
      <c r="S103" s="566"/>
      <c r="T103" s="428"/>
      <c r="U103" s="428"/>
      <c r="V103" s="428"/>
      <c r="W103" s="428"/>
      <c r="X103" s="428"/>
      <c r="Y103" s="427"/>
      <c r="Z103" s="283"/>
      <c r="AA103" s="283"/>
    </row>
    <row r="104" spans="1:27">
      <c r="A104" s="446"/>
      <c r="B104" s="284"/>
      <c r="C104" s="447"/>
      <c r="D104" s="604"/>
      <c r="E104" s="604"/>
      <c r="F104" s="604"/>
      <c r="G104" s="604"/>
      <c r="H104" s="604"/>
      <c r="I104" s="604"/>
      <c r="J104" s="604"/>
      <c r="K104" s="604"/>
      <c r="L104" s="604"/>
      <c r="M104" s="604"/>
      <c r="N104" s="604"/>
      <c r="O104" s="604"/>
      <c r="P104" s="543"/>
      <c r="Q104" s="543"/>
      <c r="R104" s="284"/>
      <c r="S104" s="543"/>
      <c r="T104" s="536"/>
      <c r="U104" s="539"/>
      <c r="V104" s="428"/>
      <c r="W104" s="428"/>
      <c r="X104" s="428"/>
      <c r="Y104" s="427"/>
      <c r="Z104" s="283"/>
      <c r="AA104" s="283"/>
    </row>
    <row r="105" spans="1:27">
      <c r="A105" s="446"/>
      <c r="B105" s="448"/>
      <c r="C105" s="284"/>
      <c r="D105" s="604"/>
      <c r="E105" s="604"/>
      <c r="F105" s="604"/>
      <c r="G105" s="604"/>
      <c r="H105" s="604"/>
      <c r="I105" s="604"/>
      <c r="J105" s="604"/>
      <c r="K105" s="604"/>
      <c r="L105" s="604"/>
      <c r="M105" s="604"/>
      <c r="N105" s="604"/>
      <c r="O105" s="604"/>
      <c r="P105" s="536"/>
      <c r="Q105" s="536"/>
      <c r="R105" s="284"/>
      <c r="S105" s="536"/>
      <c r="T105" s="545"/>
      <c r="U105" s="547"/>
      <c r="V105" s="428"/>
      <c r="W105" s="428"/>
      <c r="X105" s="428"/>
      <c r="Y105" s="427"/>
      <c r="Z105" s="283"/>
      <c r="AA105" s="283"/>
    </row>
    <row r="106" spans="1:27">
      <c r="A106" s="428"/>
      <c r="B106" s="449"/>
      <c r="C106" s="450"/>
      <c r="D106" s="604"/>
      <c r="E106" s="604"/>
      <c r="F106" s="604"/>
      <c r="G106" s="604"/>
      <c r="H106" s="604"/>
      <c r="I106" s="604"/>
      <c r="J106" s="604"/>
      <c r="K106" s="604"/>
      <c r="L106" s="604"/>
      <c r="M106" s="604"/>
      <c r="N106" s="604"/>
      <c r="O106" s="604"/>
      <c r="P106" s="545"/>
      <c r="Q106" s="545"/>
      <c r="R106" s="428"/>
      <c r="S106" s="545"/>
      <c r="T106" s="428"/>
      <c r="U106" s="428"/>
      <c r="V106" s="428"/>
      <c r="W106" s="428"/>
      <c r="X106" s="428"/>
      <c r="Y106" s="427"/>
      <c r="Z106" s="283"/>
      <c r="AA106" s="283"/>
    </row>
    <row r="107" spans="1:27">
      <c r="A107" s="446"/>
      <c r="B107" s="431"/>
      <c r="C107" s="451"/>
      <c r="D107" s="284"/>
      <c r="E107" s="284"/>
      <c r="F107" s="284"/>
      <c r="G107" s="284"/>
      <c r="H107" s="284"/>
      <c r="I107" s="284"/>
      <c r="J107" s="284"/>
      <c r="K107" s="284"/>
      <c r="L107" s="465"/>
      <c r="M107" s="465"/>
      <c r="N107" s="605"/>
      <c r="O107" s="605"/>
      <c r="P107" s="283"/>
      <c r="Q107" s="283"/>
      <c r="R107" s="283"/>
      <c r="S107" s="428"/>
      <c r="T107" s="428"/>
      <c r="U107" s="428"/>
      <c r="V107" s="428"/>
      <c r="W107" s="428"/>
      <c r="X107" s="428"/>
      <c r="Y107" s="427"/>
      <c r="Z107" s="283"/>
      <c r="AA107" s="283"/>
    </row>
    <row r="108" spans="1:27">
      <c r="A108" s="428"/>
      <c r="B108" s="432"/>
      <c r="C108" s="451"/>
      <c r="D108" s="284"/>
      <c r="E108" s="284"/>
      <c r="F108" s="284"/>
      <c r="G108" s="284"/>
      <c r="H108" s="284"/>
      <c r="I108" s="284"/>
      <c r="J108" s="284"/>
      <c r="K108" s="284"/>
      <c r="L108" s="465"/>
      <c r="M108" s="465"/>
      <c r="N108" s="283"/>
      <c r="O108" s="283"/>
      <c r="P108" s="283"/>
      <c r="Q108" s="283"/>
      <c r="R108" s="283"/>
      <c r="S108" s="428"/>
      <c r="T108" s="428"/>
      <c r="U108" s="428"/>
      <c r="V108" s="428"/>
      <c r="W108" s="428"/>
      <c r="X108" s="428"/>
      <c r="Y108" s="427"/>
      <c r="Z108" s="283"/>
      <c r="AA108" s="283"/>
    </row>
    <row r="109" spans="1:27">
      <c r="A109" s="428"/>
      <c r="B109" s="432"/>
      <c r="C109" s="451"/>
      <c r="D109" s="284"/>
      <c r="E109" s="284"/>
      <c r="F109" s="284"/>
      <c r="G109" s="284"/>
      <c r="H109" s="284"/>
      <c r="I109" s="284"/>
      <c r="J109" s="284"/>
      <c r="K109" s="284"/>
      <c r="L109" s="465"/>
      <c r="M109" s="465"/>
      <c r="N109" s="428"/>
      <c r="O109" s="283"/>
      <c r="P109" s="283"/>
      <c r="Q109" s="283"/>
      <c r="R109" s="283"/>
      <c r="S109" s="428"/>
      <c r="T109" s="428"/>
      <c r="U109" s="428"/>
      <c r="V109" s="428"/>
      <c r="W109" s="428"/>
      <c r="X109" s="428"/>
      <c r="Y109" s="427"/>
      <c r="Z109" s="283"/>
      <c r="AA109" s="283"/>
    </row>
    <row r="110" spans="1:27">
      <c r="A110" s="452"/>
      <c r="B110" s="432"/>
      <c r="C110" s="451"/>
      <c r="D110" s="284"/>
      <c r="E110" s="284"/>
      <c r="F110" s="284"/>
      <c r="G110" s="284"/>
      <c r="H110" s="284"/>
      <c r="I110" s="284"/>
      <c r="J110" s="284"/>
      <c r="K110" s="284"/>
      <c r="L110" s="465"/>
      <c r="M110" s="465"/>
      <c r="N110" s="284"/>
      <c r="O110" s="428"/>
      <c r="P110" s="452"/>
      <c r="Q110" s="452"/>
      <c r="R110" s="452"/>
      <c r="S110" s="567"/>
      <c r="T110" s="428"/>
      <c r="U110" s="428"/>
      <c r="V110" s="428"/>
      <c r="W110" s="428"/>
      <c r="X110" s="428"/>
      <c r="Y110" s="427"/>
      <c r="Z110" s="283"/>
      <c r="AA110" s="283"/>
    </row>
    <row r="111" spans="1:27">
      <c r="A111" s="428"/>
      <c r="B111" s="432"/>
      <c r="C111" s="451"/>
      <c r="D111" s="452"/>
      <c r="E111" s="452"/>
      <c r="F111" s="452"/>
      <c r="G111" s="452"/>
      <c r="H111" s="452"/>
      <c r="I111" s="452"/>
      <c r="J111" s="452"/>
      <c r="K111" s="452"/>
      <c r="L111" s="568"/>
      <c r="M111" s="568"/>
      <c r="N111" s="452"/>
      <c r="O111" s="452"/>
      <c r="P111" s="569"/>
      <c r="Q111" s="569"/>
      <c r="R111" s="569"/>
      <c r="S111" s="570"/>
      <c r="T111" s="428"/>
      <c r="U111" s="428"/>
      <c r="V111" s="428"/>
      <c r="W111" s="428"/>
      <c r="X111" s="428"/>
      <c r="Y111" s="427"/>
      <c r="Z111" s="283"/>
      <c r="AA111" s="283"/>
    </row>
    <row r="112" spans="1:27">
      <c r="A112" s="436"/>
      <c r="B112" s="432"/>
      <c r="C112" s="451"/>
      <c r="D112" s="571"/>
      <c r="E112" s="571"/>
      <c r="F112" s="571"/>
      <c r="G112" s="571"/>
      <c r="H112" s="571"/>
      <c r="I112" s="571"/>
      <c r="J112" s="571"/>
      <c r="K112" s="571"/>
      <c r="L112" s="572"/>
      <c r="M112" s="572"/>
      <c r="N112" s="569"/>
      <c r="O112" s="569"/>
      <c r="P112" s="436"/>
      <c r="Q112" s="436"/>
      <c r="R112" s="436"/>
      <c r="S112" s="436"/>
      <c r="T112" s="428"/>
      <c r="U112" s="428"/>
      <c r="V112" s="428"/>
      <c r="W112" s="428"/>
      <c r="X112" s="428"/>
      <c r="Y112" s="427"/>
      <c r="Z112" s="283"/>
      <c r="AA112" s="283"/>
    </row>
    <row r="113" spans="1:27">
      <c r="A113" s="452"/>
      <c r="B113" s="432"/>
      <c r="C113" s="451"/>
      <c r="D113" s="436"/>
      <c r="E113" s="436"/>
      <c r="F113" s="436"/>
      <c r="G113" s="436"/>
      <c r="H113" s="436"/>
      <c r="I113" s="436"/>
      <c r="J113" s="436"/>
      <c r="K113" s="436"/>
      <c r="L113" s="573"/>
      <c r="M113" s="573"/>
      <c r="N113" s="436"/>
      <c r="O113" s="436"/>
      <c r="P113" s="452"/>
      <c r="Q113" s="452"/>
      <c r="R113" s="452"/>
      <c r="S113" s="567"/>
      <c r="T113" s="428"/>
      <c r="U113" s="428"/>
      <c r="V113" s="428"/>
      <c r="W113" s="428"/>
      <c r="X113" s="428"/>
      <c r="Y113" s="427"/>
      <c r="Z113" s="283"/>
      <c r="AA113" s="283"/>
    </row>
    <row r="114" spans="1:27">
      <c r="A114" s="453"/>
      <c r="B114" s="432"/>
      <c r="C114" s="451"/>
      <c r="D114" s="452"/>
      <c r="E114" s="452"/>
      <c r="F114" s="452"/>
      <c r="G114" s="452"/>
      <c r="H114" s="452"/>
      <c r="I114" s="452"/>
      <c r="J114" s="452"/>
      <c r="K114" s="452"/>
      <c r="L114" s="568"/>
      <c r="M114" s="568"/>
      <c r="N114" s="452"/>
      <c r="O114" s="452"/>
      <c r="P114" s="569"/>
      <c r="Q114" s="569"/>
      <c r="R114" s="569"/>
      <c r="S114" s="570"/>
      <c r="T114" s="428"/>
      <c r="U114" s="428"/>
      <c r="V114" s="428"/>
      <c r="W114" s="428"/>
      <c r="X114" s="428"/>
      <c r="Y114" s="427"/>
      <c r="Z114" s="283"/>
      <c r="AA114" s="283"/>
    </row>
    <row r="115" spans="1:27">
      <c r="A115" s="436"/>
      <c r="B115" s="432"/>
      <c r="C115" s="451"/>
      <c r="D115" s="571"/>
      <c r="E115" s="571"/>
      <c r="F115" s="571"/>
      <c r="G115" s="571"/>
      <c r="H115" s="571"/>
      <c r="I115" s="571"/>
      <c r="J115" s="571"/>
      <c r="K115" s="571"/>
      <c r="L115" s="572"/>
      <c r="M115" s="572"/>
      <c r="N115" s="569"/>
      <c r="O115" s="569"/>
      <c r="P115" s="566"/>
      <c r="Q115" s="566"/>
      <c r="R115" s="436"/>
      <c r="S115" s="436"/>
      <c r="T115" s="428"/>
      <c r="U115" s="428"/>
      <c r="V115" s="428"/>
      <c r="W115" s="428"/>
      <c r="X115" s="428"/>
      <c r="Y115" s="427"/>
      <c r="Z115" s="283"/>
      <c r="AA115" s="283"/>
    </row>
    <row r="116" spans="1:27">
      <c r="A116" s="437"/>
      <c r="B116" s="432"/>
      <c r="C116" s="451"/>
      <c r="D116" s="436"/>
      <c r="E116" s="436"/>
      <c r="F116" s="436"/>
      <c r="G116" s="436"/>
      <c r="H116" s="436"/>
      <c r="I116" s="436"/>
      <c r="J116" s="436"/>
      <c r="K116" s="436"/>
      <c r="L116" s="573"/>
      <c r="M116" s="573"/>
      <c r="N116" s="566"/>
      <c r="O116" s="436"/>
      <c r="P116" s="574"/>
      <c r="Q116" s="574"/>
      <c r="R116" s="575"/>
      <c r="S116" s="576"/>
      <c r="T116" s="428"/>
      <c r="U116" s="428"/>
      <c r="V116" s="428"/>
      <c r="W116" s="428"/>
      <c r="X116" s="428"/>
      <c r="Y116" s="427"/>
      <c r="Z116" s="283"/>
      <c r="AA116" s="283"/>
    </row>
    <row r="117" spans="1:27">
      <c r="A117" s="454"/>
      <c r="B117" s="438"/>
      <c r="C117" s="451"/>
      <c r="D117" s="437"/>
      <c r="E117" s="437"/>
      <c r="F117" s="437"/>
      <c r="G117" s="437"/>
      <c r="H117" s="437"/>
      <c r="I117" s="437"/>
      <c r="J117" s="437"/>
      <c r="K117" s="437"/>
      <c r="L117" s="511"/>
      <c r="M117" s="511"/>
      <c r="N117" s="577"/>
      <c r="O117" s="578"/>
      <c r="P117" s="498"/>
      <c r="Q117" s="498"/>
      <c r="R117" s="445"/>
      <c r="S117" s="500"/>
      <c r="T117" s="428"/>
      <c r="U117" s="428"/>
      <c r="V117" s="428"/>
      <c r="W117" s="428"/>
      <c r="X117" s="428"/>
      <c r="Y117" s="427"/>
      <c r="Z117" s="283"/>
      <c r="AA117" s="283"/>
    </row>
    <row r="118" spans="1:27">
      <c r="A118" s="455"/>
      <c r="B118" s="438"/>
      <c r="C118" s="451"/>
      <c r="D118" s="454"/>
      <c r="E118" s="454"/>
      <c r="F118" s="454"/>
      <c r="G118" s="454"/>
      <c r="H118" s="454"/>
      <c r="I118" s="454"/>
      <c r="J118" s="454"/>
      <c r="K118" s="454"/>
      <c r="L118" s="495"/>
      <c r="M118" s="495"/>
      <c r="N118" s="579"/>
      <c r="O118" s="497"/>
      <c r="P118" s="428"/>
      <c r="Q118" s="428"/>
      <c r="R118" s="428"/>
      <c r="S118" s="428"/>
      <c r="T118" s="428"/>
      <c r="U118" s="428"/>
      <c r="V118" s="428"/>
      <c r="W118" s="428"/>
      <c r="X118" s="428"/>
      <c r="Y118" s="427"/>
      <c r="Z118" s="283"/>
      <c r="AA118" s="283"/>
    </row>
    <row r="119" spans="1:27">
      <c r="A119" s="455"/>
      <c r="B119" s="438"/>
      <c r="C119" s="451"/>
      <c r="D119" s="427"/>
      <c r="E119" s="427"/>
      <c r="F119" s="427"/>
      <c r="G119" s="427"/>
      <c r="H119" s="427"/>
      <c r="I119" s="427"/>
      <c r="J119" s="427"/>
      <c r="K119" s="427"/>
      <c r="L119" s="580"/>
      <c r="M119" s="580"/>
      <c r="N119" s="427"/>
      <c r="O119" s="427"/>
      <c r="P119" s="428"/>
      <c r="Q119" s="428"/>
      <c r="R119" s="428"/>
      <c r="S119" s="428"/>
      <c r="T119" s="428"/>
      <c r="U119" s="428"/>
      <c r="V119" s="428"/>
      <c r="W119" s="428"/>
      <c r="X119" s="428"/>
      <c r="Y119" s="427"/>
      <c r="Z119" s="283"/>
      <c r="AA119" s="283"/>
    </row>
    <row r="120" spans="1:27">
      <c r="A120" s="455"/>
      <c r="B120" s="432"/>
      <c r="C120" s="451"/>
      <c r="D120" s="424"/>
      <c r="E120" s="424"/>
      <c r="F120" s="424"/>
      <c r="G120" s="424"/>
      <c r="H120" s="424"/>
      <c r="I120" s="424"/>
      <c r="J120" s="424"/>
      <c r="K120" s="424"/>
      <c r="L120" s="307"/>
      <c r="M120" s="307"/>
      <c r="N120" s="424"/>
      <c r="O120" s="424"/>
    </row>
    <row r="121" spans="1:27">
      <c r="A121" s="455"/>
      <c r="B121" s="432"/>
      <c r="C121" s="451"/>
      <c r="D121" s="424"/>
      <c r="E121" s="424"/>
      <c r="F121" s="424"/>
      <c r="G121" s="424"/>
      <c r="H121" s="424"/>
      <c r="I121" s="424"/>
      <c r="J121" s="424"/>
      <c r="K121" s="424"/>
      <c r="L121" s="307"/>
      <c r="M121" s="307"/>
      <c r="N121" s="424"/>
      <c r="O121" s="424"/>
    </row>
    <row r="122" spans="1:27">
      <c r="A122" s="455"/>
      <c r="B122" s="432"/>
      <c r="C122" s="451"/>
      <c r="D122" s="424"/>
      <c r="E122" s="424"/>
      <c r="F122" s="424"/>
      <c r="G122" s="424"/>
      <c r="H122" s="424"/>
      <c r="I122" s="424"/>
      <c r="J122" s="424"/>
      <c r="K122" s="424"/>
      <c r="L122" s="307"/>
      <c r="M122" s="307"/>
      <c r="N122" s="424"/>
      <c r="O122" s="424"/>
    </row>
    <row r="123" spans="1:27">
      <c r="A123" s="455"/>
      <c r="B123" s="456"/>
      <c r="C123" s="427"/>
      <c r="D123" s="424"/>
      <c r="E123" s="424"/>
      <c r="F123" s="424"/>
      <c r="G123" s="424"/>
      <c r="H123" s="424"/>
      <c r="I123" s="424"/>
      <c r="J123" s="424"/>
      <c r="K123" s="424"/>
      <c r="L123" s="307"/>
      <c r="M123" s="307"/>
      <c r="N123" s="424"/>
      <c r="O123" s="424"/>
    </row>
    <row r="124" spans="1:27">
      <c r="A124" s="455"/>
      <c r="B124" s="456"/>
      <c r="C124" s="427"/>
      <c r="D124" s="424"/>
      <c r="E124" s="424"/>
      <c r="F124" s="424"/>
      <c r="G124" s="424"/>
      <c r="H124" s="424"/>
      <c r="I124" s="424"/>
      <c r="J124" s="424"/>
      <c r="K124" s="424"/>
      <c r="L124" s="307"/>
      <c r="M124" s="307"/>
      <c r="N124" s="424"/>
      <c r="O124" s="424"/>
    </row>
    <row r="125" spans="1:27">
      <c r="A125" s="455"/>
      <c r="B125" s="427"/>
      <c r="C125" s="427"/>
      <c r="D125" s="424"/>
      <c r="E125" s="424"/>
      <c r="F125" s="424"/>
      <c r="G125" s="424"/>
      <c r="H125" s="424"/>
      <c r="I125" s="424"/>
      <c r="J125" s="424"/>
      <c r="K125" s="424"/>
      <c r="L125" s="307"/>
      <c r="M125" s="307"/>
      <c r="N125" s="424"/>
      <c r="O125" s="424"/>
    </row>
    <row r="126" spans="1:27">
      <c r="A126" s="455"/>
      <c r="B126" s="427"/>
      <c r="C126" s="427"/>
      <c r="D126" s="424"/>
      <c r="E126" s="424"/>
      <c r="F126" s="424"/>
      <c r="G126" s="424"/>
      <c r="H126" s="424"/>
      <c r="I126" s="424"/>
      <c r="J126" s="424"/>
      <c r="K126" s="424"/>
      <c r="L126" s="307"/>
      <c r="M126" s="307"/>
      <c r="N126" s="424"/>
      <c r="O126" s="424"/>
    </row>
    <row r="127" spans="1:27">
      <c r="A127" s="455"/>
      <c r="B127" s="427"/>
      <c r="C127" s="427"/>
      <c r="D127" s="424"/>
      <c r="E127" s="424"/>
      <c r="F127" s="424"/>
      <c r="G127" s="424"/>
      <c r="H127" s="424"/>
      <c r="I127" s="424"/>
      <c r="J127" s="424"/>
      <c r="K127" s="424"/>
      <c r="L127" s="307"/>
      <c r="M127" s="307"/>
      <c r="N127" s="424"/>
      <c r="O127" s="424"/>
    </row>
    <row r="128" spans="1:27">
      <c r="A128" s="455"/>
      <c r="B128" s="427"/>
      <c r="C128" s="427"/>
      <c r="N128" s="424"/>
      <c r="O128" s="424"/>
    </row>
    <row r="129" spans="1:15">
      <c r="A129" s="455"/>
      <c r="B129" s="427"/>
      <c r="C129" s="427"/>
      <c r="D129" s="424"/>
      <c r="E129" s="424"/>
      <c r="F129" s="424"/>
      <c r="G129" s="424"/>
      <c r="H129" s="424"/>
      <c r="I129" s="424"/>
      <c r="J129" s="424"/>
      <c r="K129" s="424"/>
      <c r="L129" s="307"/>
      <c r="M129" s="307"/>
      <c r="N129" s="424"/>
      <c r="O129" s="424"/>
    </row>
    <row r="130" spans="1:15">
      <c r="A130" s="455"/>
      <c r="B130" s="427"/>
      <c r="C130" s="427"/>
      <c r="D130" s="424"/>
      <c r="E130" s="424"/>
      <c r="F130" s="424"/>
      <c r="G130" s="424"/>
      <c r="H130" s="424"/>
      <c r="I130" s="424"/>
      <c r="J130" s="424"/>
      <c r="K130" s="424"/>
      <c r="L130" s="307"/>
      <c r="M130" s="307"/>
      <c r="N130" s="424"/>
      <c r="O130" s="424"/>
    </row>
    <row r="131" spans="1:15">
      <c r="A131" s="455"/>
      <c r="B131" s="427"/>
      <c r="C131" s="427"/>
      <c r="D131" s="424"/>
      <c r="E131" s="424"/>
      <c r="F131" s="424"/>
      <c r="G131" s="424"/>
      <c r="H131" s="424"/>
      <c r="I131" s="424"/>
      <c r="J131" s="424"/>
      <c r="K131" s="424"/>
      <c r="L131" s="307"/>
      <c r="M131" s="307"/>
      <c r="N131" s="424"/>
      <c r="O131" s="424"/>
    </row>
    <row r="132" spans="1:15">
      <c r="A132" s="455"/>
      <c r="B132" s="427"/>
      <c r="C132" s="427"/>
      <c r="D132" s="424"/>
      <c r="E132" s="424"/>
      <c r="F132" s="424"/>
      <c r="G132" s="424"/>
      <c r="H132" s="424"/>
      <c r="I132" s="424"/>
      <c r="J132" s="424"/>
      <c r="K132" s="424"/>
      <c r="L132" s="307"/>
      <c r="M132" s="307"/>
    </row>
    <row r="133" spans="1:15">
      <c r="A133" s="455"/>
      <c r="B133" s="427"/>
      <c r="C133" s="427"/>
      <c r="D133" s="424"/>
      <c r="E133" s="424"/>
      <c r="F133" s="424"/>
      <c r="G133" s="424"/>
      <c r="H133" s="424"/>
      <c r="I133" s="424"/>
      <c r="J133" s="424"/>
      <c r="K133" s="424"/>
      <c r="L133" s="307"/>
      <c r="M133" s="307"/>
    </row>
    <row r="134" spans="1:15">
      <c r="A134" s="455"/>
      <c r="B134" s="427"/>
      <c r="C134" s="427"/>
      <c r="D134" s="424"/>
      <c r="E134" s="424"/>
      <c r="F134" s="424"/>
      <c r="G134" s="424"/>
      <c r="H134" s="424"/>
      <c r="I134" s="424"/>
      <c r="J134" s="424"/>
      <c r="K134" s="424"/>
      <c r="L134" s="307"/>
      <c r="M134" s="307"/>
    </row>
    <row r="135" spans="1:15">
      <c r="A135" s="457"/>
      <c r="B135" s="458"/>
      <c r="C135" s="428"/>
    </row>
    <row r="136" spans="1:15">
      <c r="A136" s="428"/>
      <c r="B136" s="428"/>
      <c r="C136" s="428"/>
    </row>
    <row r="137" spans="1:15">
      <c r="A137" s="428"/>
      <c r="B137" s="428"/>
      <c r="C137" s="428"/>
    </row>
    <row r="138" spans="1:15">
      <c r="A138" s="459"/>
      <c r="B138" s="428"/>
      <c r="C138" s="428"/>
    </row>
    <row r="139" spans="1:15">
      <c r="A139" s="453"/>
      <c r="B139" s="427"/>
      <c r="C139" s="428"/>
    </row>
    <row r="140" spans="1:15">
      <c r="A140" s="428"/>
      <c r="B140" s="428"/>
      <c r="C140" s="428"/>
    </row>
    <row r="141" spans="1:15">
      <c r="A141" s="428"/>
      <c r="B141" s="428"/>
      <c r="C141" s="428"/>
    </row>
    <row r="142" spans="1:15">
      <c r="A142" s="428"/>
      <c r="B142" s="428"/>
      <c r="C142" s="428"/>
    </row>
    <row r="155" spans="14:18">
      <c r="N155" s="424"/>
      <c r="O155" s="424"/>
      <c r="P155" s="424"/>
      <c r="Q155" s="424"/>
      <c r="R155" s="424"/>
    </row>
    <row r="156" spans="14:18">
      <c r="N156" s="424"/>
      <c r="O156" s="424"/>
      <c r="P156" s="424"/>
      <c r="Q156" s="424"/>
      <c r="R156" s="424"/>
    </row>
    <row r="157" spans="14:18">
      <c r="N157" s="424"/>
      <c r="O157" s="424"/>
      <c r="P157" s="2"/>
      <c r="Q157" s="2"/>
      <c r="R157" s="424"/>
    </row>
    <row r="158" spans="14:18">
      <c r="N158" s="424"/>
      <c r="O158" s="424"/>
      <c r="P158" s="2"/>
      <c r="Q158" s="2"/>
      <c r="R158" s="424"/>
    </row>
    <row r="159" spans="14:18">
      <c r="N159" s="424"/>
      <c r="O159" s="424"/>
      <c r="P159" s="424"/>
      <c r="Q159" s="424"/>
      <c r="R159" s="424"/>
    </row>
    <row r="160" spans="14:18">
      <c r="N160" s="424"/>
      <c r="O160" s="424"/>
      <c r="P160" s="424"/>
      <c r="Q160" s="424"/>
      <c r="R160" s="424"/>
    </row>
    <row r="161" spans="14:18">
      <c r="N161" s="424"/>
      <c r="O161" s="424"/>
      <c r="P161" s="424"/>
      <c r="Q161" s="424"/>
      <c r="R161" s="424"/>
    </row>
    <row r="162" spans="14:18">
      <c r="N162" s="424"/>
      <c r="O162" s="424"/>
      <c r="P162" s="424"/>
      <c r="Q162" s="424"/>
      <c r="R162" s="424"/>
    </row>
    <row r="163" spans="14:18">
      <c r="N163" s="424"/>
      <c r="O163" s="424"/>
      <c r="P163" s="424"/>
      <c r="Q163" s="424"/>
      <c r="R163" s="424"/>
    </row>
  </sheetData>
  <mergeCells count="8">
    <mergeCell ref="D106:O106"/>
    <mergeCell ref="N107:O107"/>
    <mergeCell ref="C1:D1"/>
    <mergeCell ref="N1:O1"/>
    <mergeCell ref="N2:P2"/>
    <mergeCell ref="N49:P49"/>
    <mergeCell ref="D104:O104"/>
    <mergeCell ref="D105:O105"/>
  </mergeCells>
  <conditionalFormatting sqref="R13:R40 O25:P27 T25:T27 O33:P35 T33:T41 P36:P40 U40 S40:S41 O43:Q43 S43 P46:Q47 S46:S47 V40:V41 P51:S51 O52 O54:S54 P55:S55 P56:Q56 S56 O57:S58 P59:Q59 S59 P60:S60 O61:Q61 S61 O63 P63:Q64 S63:S64 T65:T66 P66:Q67 S66:S67 P75:S75 O76 O88:O92 R91:R92 T95:T96 O97:R97 T101:T102 P101:Q103 S103 T104:T105 P105:Q106 S105:S106 C115 C118:C122 D43:M43 D46:M47 D100:M100 D102:M102 R61:R74 R76:R79 O80:R86 P87:R90 O72:P74 T72:T74 T80:T88 U87 S87:S88 S90 P91:Q96 S93:S94 V87:V88 D90:M90 D93:M96">
    <cfRule type="cellIs" dxfId="2" priority="1" stopIfTrue="1" operator="lessThan">
      <formula>0</formula>
    </cfRule>
  </conditionalFormatting>
  <pageMargins left="0.43" right="0.27" top="0.51" bottom="0.39" header="0.15748031496062992" footer="0.19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163"/>
  <sheetViews>
    <sheetView topLeftCell="A10" zoomScale="85" zoomScaleNormal="85" workbookViewId="0">
      <selection activeCell="D34" sqref="D34"/>
    </sheetView>
  </sheetViews>
  <sheetFormatPr defaultRowHeight="21"/>
  <cols>
    <col min="1" max="1" width="16" style="582" customWidth="1"/>
    <col min="2" max="2" width="43.85546875" style="582" customWidth="1"/>
    <col min="3" max="3" width="17.140625" style="582" customWidth="1"/>
    <col min="4" max="4" width="16.42578125" style="582" customWidth="1"/>
    <col min="5" max="5" width="24.7109375" style="582" hidden="1" customWidth="1"/>
    <col min="6" max="7" width="28.28515625" style="582" hidden="1" customWidth="1"/>
    <col min="8" max="8" width="20.85546875" style="582" customWidth="1"/>
    <col min="9" max="9" width="19.85546875" style="582" customWidth="1"/>
    <col min="10" max="10" width="16.42578125" style="582" customWidth="1"/>
    <col min="11" max="11" width="14" style="582" customWidth="1"/>
    <col min="12" max="13" width="16.42578125" style="309" hidden="1" customWidth="1"/>
    <col min="14" max="14" width="19" style="582" hidden="1" customWidth="1"/>
    <col min="15" max="15" width="19.85546875" style="582" hidden="1" customWidth="1"/>
    <col min="16" max="17" width="19" style="582" hidden="1" customWidth="1"/>
    <col min="18" max="18" width="23.140625" style="582" hidden="1" customWidth="1"/>
    <col min="19" max="19" width="2.42578125" style="582" hidden="1" customWidth="1"/>
    <col min="20" max="20" width="16.42578125" style="582" bestFit="1" customWidth="1"/>
    <col min="21" max="21" width="17.5703125" style="582" hidden="1" customWidth="1"/>
    <col min="22" max="22" width="18.7109375" style="582" bestFit="1" customWidth="1"/>
    <col min="23" max="23" width="23.28515625" style="582" customWidth="1"/>
    <col min="24" max="24" width="17" style="582" bestFit="1" customWidth="1"/>
    <col min="25" max="25" width="11.85546875" style="584" customWidth="1"/>
    <col min="26" max="26" width="7.140625" style="32" bestFit="1" customWidth="1"/>
    <col min="27" max="27" width="15" style="32" bestFit="1" customWidth="1"/>
    <col min="28" max="16384" width="9.140625" style="582"/>
  </cols>
  <sheetData>
    <row r="1" spans="1:36" ht="21.75" thickBot="1">
      <c r="A1" s="266"/>
      <c r="B1" s="265"/>
      <c r="C1" s="597"/>
      <c r="D1" s="598"/>
      <c r="E1" s="263"/>
      <c r="F1" s="263"/>
      <c r="G1" s="263"/>
      <c r="H1" s="263"/>
      <c r="I1" s="263"/>
      <c r="J1" s="263"/>
      <c r="K1" s="263"/>
      <c r="L1" s="286"/>
      <c r="M1" s="286"/>
      <c r="N1" s="597"/>
      <c r="O1" s="598"/>
      <c r="P1" s="583"/>
      <c r="Q1" s="263"/>
      <c r="R1" s="263"/>
      <c r="S1" s="262">
        <v>3</v>
      </c>
      <c r="T1" s="262"/>
      <c r="U1" s="262">
        <v>3</v>
      </c>
    </row>
    <row r="2" spans="1:36" s="584" customFormat="1" ht="21.75" thickBot="1">
      <c r="A2" s="408" t="s">
        <v>111</v>
      </c>
      <c r="B2" s="409" t="s">
        <v>115</v>
      </c>
      <c r="C2" s="412" t="s">
        <v>109</v>
      </c>
      <c r="D2" s="415"/>
      <c r="E2" s="411"/>
      <c r="F2" s="411"/>
      <c r="G2" s="411"/>
      <c r="H2" s="410" t="s">
        <v>116</v>
      </c>
      <c r="I2" s="411"/>
      <c r="J2" s="411"/>
      <c r="K2" s="411"/>
      <c r="L2" s="416"/>
      <c r="M2" s="416"/>
      <c r="N2" s="602" t="s">
        <v>59</v>
      </c>
      <c r="O2" s="602"/>
      <c r="P2" s="603"/>
      <c r="Q2" s="585"/>
      <c r="R2" s="418" t="s">
        <v>58</v>
      </c>
      <c r="S2" s="419"/>
      <c r="T2" s="420"/>
      <c r="U2" s="252"/>
      <c r="V2" s="582"/>
      <c r="W2" s="582"/>
      <c r="X2" s="582"/>
      <c r="Y2" s="338"/>
      <c r="Z2" s="247"/>
      <c r="AA2" s="32"/>
    </row>
    <row r="3" spans="1:36">
      <c r="A3" s="225"/>
      <c r="B3" s="414">
        <f>C3+D3</f>
        <v>77</v>
      </c>
      <c r="C3" s="31">
        <v>77</v>
      </c>
      <c r="D3" s="238"/>
      <c r="E3" s="284"/>
      <c r="F3" s="284"/>
      <c r="G3" s="284"/>
      <c r="H3" s="284"/>
      <c r="I3" s="284"/>
      <c r="J3" s="284"/>
      <c r="K3" s="284"/>
      <c r="L3" s="289"/>
      <c r="M3" s="289"/>
      <c r="N3" s="234"/>
      <c r="O3" s="235"/>
      <c r="P3" s="220"/>
      <c r="Q3" s="219"/>
      <c r="R3" s="219"/>
      <c r="S3" s="237"/>
      <c r="T3" s="31"/>
      <c r="U3" s="236"/>
      <c r="Y3" s="2"/>
      <c r="Z3" s="234"/>
      <c r="AA3" s="234"/>
      <c r="AB3" s="234"/>
      <c r="AC3" s="104"/>
      <c r="AD3" s="104"/>
      <c r="AE3" s="104"/>
      <c r="AF3" s="104"/>
      <c r="AG3" s="104"/>
    </row>
    <row r="4" spans="1:36" ht="21.75" thickBot="1">
      <c r="A4" s="232">
        <f>B3/B4</f>
        <v>38.5</v>
      </c>
      <c r="B4" s="201">
        <f>C4+D4</f>
        <v>2</v>
      </c>
      <c r="C4" s="223">
        <v>2</v>
      </c>
      <c r="D4" s="231"/>
      <c r="E4" s="280"/>
      <c r="F4" s="280"/>
      <c r="G4" s="280"/>
      <c r="H4" s="280"/>
      <c r="I4" s="280"/>
      <c r="J4" s="280"/>
      <c r="K4" s="280"/>
      <c r="L4" s="290"/>
      <c r="M4" s="290"/>
      <c r="N4" s="230"/>
      <c r="O4" s="229"/>
      <c r="P4" s="228"/>
      <c r="Q4" s="227"/>
      <c r="R4" s="227"/>
      <c r="S4" s="226"/>
      <c r="T4" s="223"/>
      <c r="U4" s="225"/>
      <c r="Y4" s="339"/>
      <c r="Z4" s="222"/>
      <c r="AB4" s="32"/>
      <c r="AE4" s="97"/>
      <c r="AJ4" s="97"/>
    </row>
    <row r="5" spans="1:36" ht="21.75" thickBot="1">
      <c r="A5" s="369"/>
      <c r="B5" s="370">
        <f>A5/A7</f>
        <v>0</v>
      </c>
      <c r="C5" s="103"/>
      <c r="D5" s="95"/>
      <c r="E5" s="95"/>
      <c r="F5" s="95"/>
      <c r="G5" s="95"/>
      <c r="H5" s="95"/>
      <c r="I5" s="95"/>
      <c r="J5" s="95"/>
      <c r="K5" s="95"/>
      <c r="L5" s="291"/>
      <c r="M5" s="291"/>
      <c r="N5" s="32"/>
      <c r="O5" s="221" t="s">
        <v>55</v>
      </c>
      <c r="P5" s="220">
        <f>R5*A5</f>
        <v>0</v>
      </c>
      <c r="Q5" s="219"/>
      <c r="R5" s="218">
        <f>B7*1.09</f>
        <v>13.734</v>
      </c>
      <c r="S5" s="32" t="s">
        <v>54</v>
      </c>
      <c r="T5" s="31"/>
      <c r="AB5" s="584"/>
      <c r="AC5" s="584"/>
      <c r="AD5" s="584"/>
      <c r="AE5" s="584"/>
    </row>
    <row r="6" spans="1:36">
      <c r="A6" s="372" t="s">
        <v>41</v>
      </c>
      <c r="B6" s="373" t="s">
        <v>101</v>
      </c>
      <c r="C6" s="374" t="s">
        <v>102</v>
      </c>
      <c r="D6" s="375" t="s">
        <v>103</v>
      </c>
      <c r="E6" s="374" t="e">
        <f>D6/1.11</f>
        <v>#VALUE!</v>
      </c>
      <c r="F6" s="374"/>
      <c r="G6" s="374"/>
      <c r="H6" s="374" t="s">
        <v>104</v>
      </c>
      <c r="I6" s="376" t="s">
        <v>105</v>
      </c>
      <c r="J6" s="95"/>
      <c r="K6" s="95"/>
      <c r="L6" s="291"/>
      <c r="M6" s="291"/>
      <c r="N6" s="31" t="e">
        <f>C6+D6</f>
        <v>#VALUE!</v>
      </c>
      <c r="O6" s="212"/>
      <c r="P6" s="215"/>
      <c r="Q6" s="214"/>
      <c r="R6" s="209"/>
      <c r="S6" s="32">
        <v>6439.36</v>
      </c>
      <c r="T6" s="31"/>
      <c r="AB6" s="584"/>
      <c r="AC6" s="584"/>
      <c r="AD6" s="584"/>
      <c r="AE6" s="584"/>
    </row>
    <row r="7" spans="1:36" ht="21.75" thickBot="1">
      <c r="A7" s="371">
        <f>B3</f>
        <v>77</v>
      </c>
      <c r="B7" s="377">
        <v>12.6</v>
      </c>
      <c r="C7" s="378">
        <f>A7*B7</f>
        <v>970.19999999999993</v>
      </c>
      <c r="D7" s="378">
        <f>C7*0.11</f>
        <v>106.72199999999999</v>
      </c>
      <c r="E7" s="378"/>
      <c r="F7" s="378"/>
      <c r="G7" s="378"/>
      <c r="H7" s="378">
        <f>SUM(C7:D7)</f>
        <v>1076.922</v>
      </c>
      <c r="I7" s="379">
        <v>2111067</v>
      </c>
      <c r="J7" s="31"/>
      <c r="K7" s="31"/>
      <c r="L7" s="289"/>
      <c r="M7" s="289"/>
      <c r="N7" s="31">
        <f>B7*1.09</f>
        <v>13.734</v>
      </c>
      <c r="O7" s="380" t="s">
        <v>52</v>
      </c>
      <c r="P7" s="381">
        <f>SUM(P5:P6)</f>
        <v>0</v>
      </c>
      <c r="Q7" s="382"/>
      <c r="R7" s="383">
        <f>P7/A7</f>
        <v>0</v>
      </c>
      <c r="S7" s="32"/>
      <c r="T7" s="34"/>
      <c r="AB7" s="584"/>
      <c r="AC7" s="584"/>
      <c r="AD7" s="584"/>
      <c r="AE7" s="584"/>
    </row>
    <row r="8" spans="1:36" ht="45" customHeight="1" thickBot="1">
      <c r="A8" s="413">
        <v>45919</v>
      </c>
      <c r="B8" s="24" t="s">
        <v>50</v>
      </c>
      <c r="C8" s="196"/>
      <c r="E8" s="98"/>
      <c r="F8" s="98"/>
      <c r="G8" s="98"/>
      <c r="H8" s="98"/>
      <c r="I8" s="98"/>
      <c r="J8" s="98"/>
      <c r="K8" s="98"/>
      <c r="L8" s="293"/>
      <c r="M8" s="293"/>
      <c r="N8" s="195"/>
      <c r="O8" s="24"/>
      <c r="P8" s="9">
        <f>P10*1.09</f>
        <v>16.895</v>
      </c>
      <c r="Q8" s="9"/>
      <c r="R8" s="24"/>
      <c r="S8" s="24"/>
      <c r="U8" s="97"/>
    </row>
    <row r="9" spans="1:36" s="32" customFormat="1" ht="77.25" customHeight="1" thickBot="1">
      <c r="A9" s="398"/>
      <c r="B9" s="399" t="s">
        <v>48</v>
      </c>
      <c r="C9" s="400"/>
      <c r="D9" s="401" t="s">
        <v>106</v>
      </c>
      <c r="E9" s="401"/>
      <c r="F9" s="401"/>
      <c r="G9" s="401"/>
      <c r="H9" s="401" t="s">
        <v>49</v>
      </c>
      <c r="I9" s="401" t="s">
        <v>107</v>
      </c>
      <c r="J9" s="401" t="s">
        <v>107</v>
      </c>
      <c r="K9" s="402" t="s">
        <v>97</v>
      </c>
      <c r="L9" s="403"/>
      <c r="M9" s="403"/>
      <c r="N9" s="404" t="s">
        <v>40</v>
      </c>
      <c r="O9" s="405" t="s">
        <v>37</v>
      </c>
      <c r="P9" s="402" t="s">
        <v>47</v>
      </c>
      <c r="Q9" s="402"/>
      <c r="R9" s="405" t="s">
        <v>37</v>
      </c>
      <c r="S9" s="406" t="s">
        <v>36</v>
      </c>
      <c r="T9" s="407" t="s">
        <v>35</v>
      </c>
      <c r="U9" s="351"/>
      <c r="V9" s="582"/>
      <c r="W9" s="582"/>
      <c r="X9" s="582"/>
      <c r="Y9" s="584"/>
    </row>
    <row r="10" spans="1:36">
      <c r="A10" s="386"/>
      <c r="B10" s="387" t="s">
        <v>45</v>
      </c>
      <c r="C10" s="388">
        <f>B4</f>
        <v>2</v>
      </c>
      <c r="D10" s="389">
        <f>B3</f>
        <v>77</v>
      </c>
      <c r="E10" s="390"/>
      <c r="F10" s="390"/>
      <c r="G10" s="390"/>
      <c r="H10" s="390"/>
      <c r="I10" s="390"/>
      <c r="J10" s="390"/>
      <c r="K10" s="390"/>
      <c r="L10" s="391"/>
      <c r="M10" s="391"/>
      <c r="N10" s="392">
        <f>B7</f>
        <v>12.6</v>
      </c>
      <c r="O10" s="393">
        <f>((P10)/N10)-1</f>
        <v>0.23015873015873023</v>
      </c>
      <c r="P10" s="394">
        <v>15.5</v>
      </c>
      <c r="Q10" s="394">
        <f>P10*1.09</f>
        <v>16.895</v>
      </c>
      <c r="R10" s="395">
        <f>((S10)/N10)-1</f>
        <v>-1</v>
      </c>
      <c r="S10" s="396">
        <f>T10/1.09</f>
        <v>0</v>
      </c>
      <c r="T10" s="397"/>
      <c r="U10" s="352"/>
    </row>
    <row r="11" spans="1:36">
      <c r="A11" s="176" t="s">
        <v>44</v>
      </c>
      <c r="B11" s="175" t="s">
        <v>43</v>
      </c>
      <c r="C11" s="174">
        <f>D10/C10</f>
        <v>38.5</v>
      </c>
      <c r="D11" s="173" t="s">
        <v>42</v>
      </c>
      <c r="E11" s="173"/>
      <c r="F11" s="173"/>
      <c r="G11" s="173"/>
      <c r="H11" s="173"/>
      <c r="I11" s="173"/>
      <c r="J11" s="173"/>
      <c r="K11" s="173"/>
      <c r="L11" s="296"/>
      <c r="M11" s="296"/>
      <c r="N11" s="324">
        <f>D10*N10</f>
        <v>970.19999999999993</v>
      </c>
      <c r="O11" s="171">
        <f>N11*O10</f>
        <v>223.30000000000004</v>
      </c>
      <c r="P11" s="170">
        <f>D10*P10</f>
        <v>1193.5</v>
      </c>
      <c r="Q11" s="170"/>
      <c r="R11" s="169">
        <f>N11*R10</f>
        <v>-970.19999999999993</v>
      </c>
      <c r="S11" s="168">
        <f>D10*S10</f>
        <v>0</v>
      </c>
      <c r="T11" s="166"/>
      <c r="U11" s="353"/>
    </row>
    <row r="12" spans="1:36" ht="18.75" customHeight="1" thickBot="1">
      <c r="A12" s="164"/>
      <c r="B12" s="164"/>
      <c r="C12" s="164"/>
      <c r="D12" s="164"/>
      <c r="E12" s="328" t="s">
        <v>92</v>
      </c>
      <c r="F12" s="164" t="s">
        <v>87</v>
      </c>
      <c r="G12" s="329" t="s">
        <v>88</v>
      </c>
      <c r="H12" s="164"/>
      <c r="I12" s="164"/>
      <c r="J12" s="164"/>
      <c r="L12" s="297"/>
      <c r="M12" s="297"/>
      <c r="N12" s="163" t="s">
        <v>40</v>
      </c>
      <c r="O12" s="162" t="s">
        <v>37</v>
      </c>
      <c r="P12" s="160" t="s">
        <v>39</v>
      </c>
      <c r="Q12" s="161" t="s">
        <v>38</v>
      </c>
      <c r="R12" s="162" t="s">
        <v>37</v>
      </c>
      <c r="S12" s="161" t="s">
        <v>36</v>
      </c>
      <c r="T12" s="159"/>
      <c r="U12" s="354" t="s">
        <v>86</v>
      </c>
      <c r="W12" s="335" t="s">
        <v>85</v>
      </c>
      <c r="X12" s="333">
        <f>MAX(T13:T39)</f>
        <v>40</v>
      </c>
      <c r="Y12" s="343"/>
      <c r="Z12" s="344"/>
      <c r="AA12" s="344"/>
    </row>
    <row r="13" spans="1:36" ht="21.75" thickBot="1">
      <c r="A13" s="589">
        <f>I7</f>
        <v>2111067</v>
      </c>
      <c r="B13" s="156" t="s">
        <v>72</v>
      </c>
      <c r="C13" s="155">
        <v>1.67E-2</v>
      </c>
      <c r="D13" s="384">
        <f t="shared" ref="D13:D40" si="0">$D$10*C13</f>
        <v>1.2859</v>
      </c>
      <c r="E13" s="322">
        <f>D13*$N$10</f>
        <v>16.20234</v>
      </c>
      <c r="F13" s="322">
        <f t="shared" ref="F13:F40" si="1">D13*$N$10*U13</f>
        <v>3.2404679999999999</v>
      </c>
      <c r="G13" s="330">
        <f t="shared" ref="G13:G40" si="2">F13*$F$42</f>
        <v>6.1274582520829641</v>
      </c>
      <c r="H13" s="322">
        <f t="shared" ref="H13:H14" si="3">IF(D13 &gt; 0, G13/D13, 0)</f>
        <v>4.7651125686934943</v>
      </c>
      <c r="I13" s="322">
        <f>K13-H13</f>
        <v>2.4420946385137121</v>
      </c>
      <c r="J13" s="326">
        <f t="shared" ref="J13:J41" si="4">IF(H13 &gt; 0, I13/H13, 0)</f>
        <v>0.51249463749463731</v>
      </c>
      <c r="K13" s="149">
        <f>T13/1.11</f>
        <v>7.2072072072072064</v>
      </c>
      <c r="L13" s="298">
        <f>T13/$N$10</f>
        <v>0.63492063492063489</v>
      </c>
      <c r="M13" s="298">
        <f>L13/1.6</f>
        <v>0.3968253968253968</v>
      </c>
      <c r="N13" s="327">
        <f>M13*$N$10</f>
        <v>5</v>
      </c>
      <c r="O13" s="153">
        <f t="shared" ref="O13:O38" si="5">(P13/(N13))-1</f>
        <v>0.39999999999999991</v>
      </c>
      <c r="P13" s="152">
        <v>7</v>
      </c>
      <c r="Q13" s="152">
        <f t="shared" ref="Q13:Q40" si="6">P13*1.09</f>
        <v>7.6300000000000008</v>
      </c>
      <c r="R13" s="151">
        <f t="shared" ref="R13:R39" si="7">((S13)/N13)-1</f>
        <v>0.46788990825688059</v>
      </c>
      <c r="S13" s="150">
        <f t="shared" ref="S13:S39" si="8">T13/1.09</f>
        <v>7.3394495412844032</v>
      </c>
      <c r="T13" s="360">
        <v>8</v>
      </c>
      <c r="U13" s="355">
        <f>T13/$X$12</f>
        <v>0.2</v>
      </c>
      <c r="V13" s="337"/>
      <c r="W13" s="335" t="s">
        <v>99</v>
      </c>
      <c r="X13" s="333">
        <f>E41</f>
        <v>970.19999999999993</v>
      </c>
    </row>
    <row r="14" spans="1:36" ht="21.75" thickBot="1">
      <c r="A14" s="590">
        <f>$A$13</f>
        <v>2111067</v>
      </c>
      <c r="B14" s="147" t="s">
        <v>73</v>
      </c>
      <c r="C14" s="138">
        <v>3.2599999999999997E-2</v>
      </c>
      <c r="D14" s="385">
        <f t="shared" si="0"/>
        <v>2.5101999999999998</v>
      </c>
      <c r="E14" s="322">
        <f t="shared" ref="E14:E40" si="9">D14*$N$10</f>
        <v>31.628519999999995</v>
      </c>
      <c r="F14" s="322">
        <f t="shared" si="1"/>
        <v>2.3721389999999993</v>
      </c>
      <c r="G14" s="330">
        <f t="shared" si="2"/>
        <v>4.4855195887254018</v>
      </c>
      <c r="H14" s="322">
        <f t="shared" si="3"/>
        <v>1.7869172132600599</v>
      </c>
      <c r="I14" s="322">
        <f>K14-H14</f>
        <v>0.91578548944264271</v>
      </c>
      <c r="J14" s="326">
        <f t="shared" si="4"/>
        <v>0.51249463749463775</v>
      </c>
      <c r="K14" s="149">
        <f t="shared" ref="K14:K39" si="10">T14/1.11</f>
        <v>2.7027027027027026</v>
      </c>
      <c r="L14" s="298">
        <f t="shared" ref="L14:L42" si="11">T14/$N$10</f>
        <v>0.23809523809523811</v>
      </c>
      <c r="M14" s="298">
        <f t="shared" ref="M14:M42" si="12">L14/1.6</f>
        <v>0.14880952380952381</v>
      </c>
      <c r="N14" s="327">
        <f t="shared" ref="N14:N42" si="13">M14*$N$10</f>
        <v>1.875</v>
      </c>
      <c r="O14" s="136">
        <f t="shared" si="5"/>
        <v>6.6666666666666652E-2</v>
      </c>
      <c r="P14" s="134">
        <v>2</v>
      </c>
      <c r="Q14" s="134">
        <f t="shared" si="6"/>
        <v>2.1800000000000002</v>
      </c>
      <c r="R14" s="133">
        <f t="shared" si="7"/>
        <v>0.46788990825688059</v>
      </c>
      <c r="S14" s="143">
        <f t="shared" si="8"/>
        <v>2.7522935779816513</v>
      </c>
      <c r="T14" s="361">
        <v>3</v>
      </c>
      <c r="U14" s="355">
        <f t="shared" ref="U14:U39" si="14">T14/$X$12</f>
        <v>7.4999999999999997E-2</v>
      </c>
      <c r="V14" s="337"/>
      <c r="W14" s="335" t="s">
        <v>98</v>
      </c>
      <c r="X14" s="333">
        <f>T41/1.11</f>
        <v>1467.4222972972971</v>
      </c>
    </row>
    <row r="15" spans="1:36" ht="21.75" hidden="1" thickBot="1">
      <c r="A15" s="590">
        <f t="shared" ref="A15:A39" si="15">$A$13</f>
        <v>2111067</v>
      </c>
      <c r="B15" s="139" t="s">
        <v>32</v>
      </c>
      <c r="C15" s="138">
        <v>0</v>
      </c>
      <c r="D15" s="385">
        <f t="shared" si="0"/>
        <v>0</v>
      </c>
      <c r="E15" s="322">
        <f t="shared" si="9"/>
        <v>0</v>
      </c>
      <c r="F15" s="322">
        <f t="shared" si="1"/>
        <v>0</v>
      </c>
      <c r="G15" s="330">
        <f t="shared" si="2"/>
        <v>0</v>
      </c>
      <c r="H15" s="322">
        <f>IF(D15 &gt; 0, G15/D15, 0)</f>
        <v>0</v>
      </c>
      <c r="I15" s="322">
        <f t="shared" ref="I15:I41" si="16">K15-H15</f>
        <v>9.0090090090090076</v>
      </c>
      <c r="J15" s="326">
        <f t="shared" si="4"/>
        <v>0</v>
      </c>
      <c r="K15" s="149">
        <f t="shared" si="10"/>
        <v>9.0090090090090076</v>
      </c>
      <c r="L15" s="298">
        <f t="shared" si="11"/>
        <v>0.79365079365079372</v>
      </c>
      <c r="M15" s="298">
        <f t="shared" si="12"/>
        <v>0.49603174603174605</v>
      </c>
      <c r="N15" s="327">
        <f t="shared" si="13"/>
        <v>6.25</v>
      </c>
      <c r="O15" s="136">
        <f t="shared" si="5"/>
        <v>0.28000000000000003</v>
      </c>
      <c r="P15" s="134">
        <v>8</v>
      </c>
      <c r="Q15" s="134">
        <f t="shared" si="6"/>
        <v>8.7200000000000006</v>
      </c>
      <c r="R15" s="133">
        <f t="shared" si="7"/>
        <v>0.46788990825688082</v>
      </c>
      <c r="S15" s="143">
        <f t="shared" si="8"/>
        <v>9.1743119266055047</v>
      </c>
      <c r="T15" s="361">
        <v>10</v>
      </c>
      <c r="U15" s="355">
        <f t="shared" si="14"/>
        <v>0.25</v>
      </c>
      <c r="W15" s="335" t="s">
        <v>95</v>
      </c>
      <c r="X15" s="333">
        <f>X14-X13</f>
        <v>497.22229729729713</v>
      </c>
    </row>
    <row r="16" spans="1:36" ht="21.75" thickBot="1">
      <c r="A16" s="590">
        <f t="shared" si="15"/>
        <v>2111067</v>
      </c>
      <c r="B16" s="139" t="s">
        <v>74</v>
      </c>
      <c r="C16" s="138">
        <v>2.7300000000000001E-2</v>
      </c>
      <c r="D16" s="385">
        <f t="shared" si="0"/>
        <v>2.1021000000000001</v>
      </c>
      <c r="E16" s="322">
        <f t="shared" si="9"/>
        <v>26.486460000000001</v>
      </c>
      <c r="F16" s="322">
        <f t="shared" si="1"/>
        <v>12.581068500000001</v>
      </c>
      <c r="G16" s="330">
        <f t="shared" si="2"/>
        <v>23.789764935295164</v>
      </c>
      <c r="H16" s="322">
        <f t="shared" ref="H16:H40" si="17">IF(D16 &gt; 0, G16/D16, 0)</f>
        <v>11.31714235064705</v>
      </c>
      <c r="I16" s="322">
        <f t="shared" si="16"/>
        <v>5.7999747664700649</v>
      </c>
      <c r="J16" s="326">
        <f t="shared" si="4"/>
        <v>0.51249463749463708</v>
      </c>
      <c r="K16" s="149">
        <f t="shared" si="10"/>
        <v>17.117117117117115</v>
      </c>
      <c r="L16" s="298">
        <f t="shared" si="11"/>
        <v>1.5079365079365079</v>
      </c>
      <c r="M16" s="298">
        <f t="shared" si="12"/>
        <v>0.94246031746031744</v>
      </c>
      <c r="N16" s="327">
        <f t="shared" si="13"/>
        <v>11.875</v>
      </c>
      <c r="O16" s="136">
        <f t="shared" si="5"/>
        <v>0.34736842105263155</v>
      </c>
      <c r="P16" s="134">
        <v>16</v>
      </c>
      <c r="Q16" s="134">
        <f t="shared" si="6"/>
        <v>17.440000000000001</v>
      </c>
      <c r="R16" s="133">
        <f t="shared" si="7"/>
        <v>0.46788990825688059</v>
      </c>
      <c r="S16" s="143">
        <f t="shared" si="8"/>
        <v>17.431192660550458</v>
      </c>
      <c r="T16" s="361">
        <v>19</v>
      </c>
      <c r="U16" s="355">
        <f t="shared" si="14"/>
        <v>0.47499999999999998</v>
      </c>
      <c r="W16" s="335" t="s">
        <v>96</v>
      </c>
      <c r="X16" s="334">
        <f>X15/X13</f>
        <v>0.51249463749463731</v>
      </c>
      <c r="AA16" s="333"/>
    </row>
    <row r="17" spans="1:27" ht="21.75" thickBot="1">
      <c r="A17" s="590">
        <f t="shared" si="15"/>
        <v>2111067</v>
      </c>
      <c r="B17" s="139" t="s">
        <v>30</v>
      </c>
      <c r="C17" s="138">
        <v>1.15E-2</v>
      </c>
      <c r="D17" s="385">
        <f t="shared" si="0"/>
        <v>0.88549999999999995</v>
      </c>
      <c r="E17" s="322">
        <f t="shared" si="9"/>
        <v>11.157299999999999</v>
      </c>
      <c r="F17" s="322">
        <f t="shared" si="1"/>
        <v>5.5786499999999997</v>
      </c>
      <c r="G17" s="330">
        <f t="shared" si="2"/>
        <v>10.548767948945223</v>
      </c>
      <c r="H17" s="322">
        <f t="shared" si="17"/>
        <v>11.912781421733737</v>
      </c>
      <c r="I17" s="322">
        <f t="shared" si="16"/>
        <v>6.1052365962842785</v>
      </c>
      <c r="J17" s="326">
        <f t="shared" si="4"/>
        <v>0.51249463749463708</v>
      </c>
      <c r="K17" s="149">
        <f t="shared" si="10"/>
        <v>18.018018018018015</v>
      </c>
      <c r="L17" s="298">
        <f t="shared" si="11"/>
        <v>1.5873015873015874</v>
      </c>
      <c r="M17" s="298">
        <f t="shared" si="12"/>
        <v>0.99206349206349209</v>
      </c>
      <c r="N17" s="327">
        <f t="shared" si="13"/>
        <v>12.5</v>
      </c>
      <c r="O17" s="136">
        <f t="shared" si="5"/>
        <v>4.0000000000000036E-2</v>
      </c>
      <c r="P17" s="134">
        <v>13</v>
      </c>
      <c r="Q17" s="134">
        <f t="shared" si="6"/>
        <v>14.170000000000002</v>
      </c>
      <c r="R17" s="133">
        <f t="shared" si="7"/>
        <v>0.46788990825688082</v>
      </c>
      <c r="S17" s="143">
        <f t="shared" si="8"/>
        <v>18.348623853211009</v>
      </c>
      <c r="T17" s="361">
        <v>20</v>
      </c>
      <c r="U17" s="355">
        <f t="shared" si="14"/>
        <v>0.5</v>
      </c>
      <c r="W17" s="32"/>
      <c r="X17" s="32"/>
      <c r="AA17" s="333"/>
    </row>
    <row r="18" spans="1:27" ht="21.75" thickBot="1">
      <c r="A18" s="590">
        <f t="shared" si="15"/>
        <v>2111067</v>
      </c>
      <c r="B18" s="139" t="s">
        <v>75</v>
      </c>
      <c r="C18" s="138">
        <v>0.1198</v>
      </c>
      <c r="D18" s="385">
        <f t="shared" si="0"/>
        <v>9.2246000000000006</v>
      </c>
      <c r="E18" s="322">
        <f t="shared" si="9"/>
        <v>116.22996000000001</v>
      </c>
      <c r="F18" s="322">
        <f t="shared" si="1"/>
        <v>72.643725000000003</v>
      </c>
      <c r="G18" s="330">
        <f t="shared" si="2"/>
        <v>137.36330437865627</v>
      </c>
      <c r="H18" s="322">
        <f t="shared" si="17"/>
        <v>14.890976777167168</v>
      </c>
      <c r="I18" s="322">
        <f t="shared" si="16"/>
        <v>7.6315457453553535</v>
      </c>
      <c r="J18" s="326">
        <f t="shared" si="4"/>
        <v>0.51249463749463753</v>
      </c>
      <c r="K18" s="149">
        <f t="shared" si="10"/>
        <v>22.522522522522522</v>
      </c>
      <c r="L18" s="298">
        <f t="shared" si="11"/>
        <v>1.9841269841269842</v>
      </c>
      <c r="M18" s="298">
        <f t="shared" si="12"/>
        <v>1.2400793650793651</v>
      </c>
      <c r="N18" s="327">
        <f t="shared" si="13"/>
        <v>15.625</v>
      </c>
      <c r="O18" s="136">
        <f t="shared" si="5"/>
        <v>0.31200000000000006</v>
      </c>
      <c r="P18" s="134">
        <v>20.5</v>
      </c>
      <c r="Q18" s="134">
        <f t="shared" si="6"/>
        <v>22.345000000000002</v>
      </c>
      <c r="R18" s="133">
        <f t="shared" si="7"/>
        <v>0.46788990825688059</v>
      </c>
      <c r="S18" s="143">
        <f t="shared" si="8"/>
        <v>22.935779816513758</v>
      </c>
      <c r="T18" s="361">
        <v>25</v>
      </c>
      <c r="U18" s="355">
        <f t="shared" si="14"/>
        <v>0.625</v>
      </c>
    </row>
    <row r="19" spans="1:27" ht="21.75" thickBot="1">
      <c r="A19" s="590">
        <f t="shared" si="15"/>
        <v>2111067</v>
      </c>
      <c r="B19" s="139" t="s">
        <v>76</v>
      </c>
      <c r="C19" s="138">
        <v>5.3699999999999998E-2</v>
      </c>
      <c r="D19" s="385">
        <f t="shared" si="0"/>
        <v>4.1349</v>
      </c>
      <c r="E19" s="322">
        <f t="shared" si="9"/>
        <v>52.099739999999997</v>
      </c>
      <c r="F19" s="322">
        <f t="shared" si="1"/>
        <v>32.562337499999998</v>
      </c>
      <c r="G19" s="330">
        <f t="shared" si="2"/>
        <v>61.572699875908526</v>
      </c>
      <c r="H19" s="322">
        <f t="shared" si="17"/>
        <v>14.890976777167168</v>
      </c>
      <c r="I19" s="322">
        <f t="shared" si="16"/>
        <v>7.6315457453553535</v>
      </c>
      <c r="J19" s="326">
        <f t="shared" si="4"/>
        <v>0.51249463749463753</v>
      </c>
      <c r="K19" s="149">
        <f t="shared" si="10"/>
        <v>22.522522522522522</v>
      </c>
      <c r="L19" s="298">
        <f t="shared" si="11"/>
        <v>1.9841269841269842</v>
      </c>
      <c r="M19" s="298">
        <f t="shared" si="12"/>
        <v>1.2400793650793651</v>
      </c>
      <c r="N19" s="327">
        <f t="shared" si="13"/>
        <v>15.625</v>
      </c>
      <c r="O19" s="136">
        <f t="shared" si="5"/>
        <v>0.31200000000000006</v>
      </c>
      <c r="P19" s="134">
        <v>20.5</v>
      </c>
      <c r="Q19" s="134">
        <f t="shared" si="6"/>
        <v>22.345000000000002</v>
      </c>
      <c r="R19" s="133">
        <f t="shared" si="7"/>
        <v>0.46788990825688059</v>
      </c>
      <c r="S19" s="143">
        <f t="shared" si="8"/>
        <v>22.935779816513758</v>
      </c>
      <c r="T19" s="361">
        <v>25</v>
      </c>
      <c r="U19" s="355">
        <f t="shared" si="14"/>
        <v>0.625</v>
      </c>
    </row>
    <row r="20" spans="1:27" ht="21.75" hidden="1" thickBot="1">
      <c r="A20" s="590">
        <f t="shared" si="15"/>
        <v>2111067</v>
      </c>
      <c r="B20" s="139" t="s">
        <v>27</v>
      </c>
      <c r="C20" s="138">
        <v>0</v>
      </c>
      <c r="D20" s="385">
        <f t="shared" si="0"/>
        <v>0</v>
      </c>
      <c r="E20" s="322">
        <f t="shared" si="9"/>
        <v>0</v>
      </c>
      <c r="F20" s="322">
        <f t="shared" si="1"/>
        <v>0</v>
      </c>
      <c r="G20" s="330">
        <f t="shared" si="2"/>
        <v>0</v>
      </c>
      <c r="H20" s="322">
        <f t="shared" si="17"/>
        <v>0</v>
      </c>
      <c r="I20" s="322">
        <f t="shared" si="16"/>
        <v>22.072072072072071</v>
      </c>
      <c r="J20" s="326">
        <f t="shared" si="4"/>
        <v>0</v>
      </c>
      <c r="K20" s="149">
        <f t="shared" si="10"/>
        <v>22.072072072072071</v>
      </c>
      <c r="L20" s="298">
        <f t="shared" si="11"/>
        <v>1.9444444444444444</v>
      </c>
      <c r="M20" s="298">
        <f t="shared" si="12"/>
        <v>1.2152777777777777</v>
      </c>
      <c r="N20" s="327">
        <f t="shared" si="13"/>
        <v>15.312499999999998</v>
      </c>
      <c r="O20" s="136">
        <f t="shared" si="5"/>
        <v>0.14285714285714302</v>
      </c>
      <c r="P20" s="134">
        <v>17.5</v>
      </c>
      <c r="Q20" s="134">
        <f t="shared" si="6"/>
        <v>19.075000000000003</v>
      </c>
      <c r="R20" s="133">
        <f t="shared" si="7"/>
        <v>0.46788990825688082</v>
      </c>
      <c r="S20" s="143">
        <f t="shared" si="8"/>
        <v>22.477064220183486</v>
      </c>
      <c r="T20" s="361">
        <v>24.5</v>
      </c>
      <c r="U20" s="355">
        <f t="shared" si="14"/>
        <v>0.61250000000000004</v>
      </c>
      <c r="AA20" s="333"/>
    </row>
    <row r="21" spans="1:27" ht="21.75" hidden="1" thickBot="1">
      <c r="A21" s="590">
        <f t="shared" si="15"/>
        <v>2111067</v>
      </c>
      <c r="B21" s="139" t="s">
        <v>26</v>
      </c>
      <c r="C21" s="138">
        <v>0</v>
      </c>
      <c r="D21" s="385">
        <f t="shared" si="0"/>
        <v>0</v>
      </c>
      <c r="E21" s="322">
        <f t="shared" si="9"/>
        <v>0</v>
      </c>
      <c r="F21" s="322">
        <f t="shared" si="1"/>
        <v>0</v>
      </c>
      <c r="G21" s="330">
        <f t="shared" si="2"/>
        <v>0</v>
      </c>
      <c r="H21" s="322">
        <f t="shared" si="17"/>
        <v>0</v>
      </c>
      <c r="I21" s="322">
        <f t="shared" si="16"/>
        <v>19.819819819819816</v>
      </c>
      <c r="J21" s="326">
        <f t="shared" si="4"/>
        <v>0</v>
      </c>
      <c r="K21" s="149">
        <f t="shared" si="10"/>
        <v>19.819819819819816</v>
      </c>
      <c r="L21" s="298">
        <f t="shared" si="11"/>
        <v>1.746031746031746</v>
      </c>
      <c r="M21" s="298">
        <f t="shared" si="12"/>
        <v>1.0912698412698412</v>
      </c>
      <c r="N21" s="327">
        <f t="shared" si="13"/>
        <v>13.749999999999998</v>
      </c>
      <c r="O21" s="136">
        <f t="shared" si="5"/>
        <v>9.090909090909105E-2</v>
      </c>
      <c r="P21" s="134">
        <v>15</v>
      </c>
      <c r="Q21" s="134">
        <f t="shared" si="6"/>
        <v>16.350000000000001</v>
      </c>
      <c r="R21" s="133">
        <f t="shared" si="7"/>
        <v>0.46788990825688082</v>
      </c>
      <c r="S21" s="143">
        <f t="shared" si="8"/>
        <v>20.183486238532108</v>
      </c>
      <c r="T21" s="361">
        <v>22</v>
      </c>
      <c r="U21" s="355">
        <f t="shared" si="14"/>
        <v>0.55000000000000004</v>
      </c>
    </row>
    <row r="22" spans="1:27" ht="21.75" thickBot="1">
      <c r="A22" s="590">
        <f t="shared" si="15"/>
        <v>2111067</v>
      </c>
      <c r="B22" s="139" t="s">
        <v>77</v>
      </c>
      <c r="C22" s="138">
        <v>7.0499999999999993E-2</v>
      </c>
      <c r="D22" s="385">
        <f t="shared" si="0"/>
        <v>5.4284999999999997</v>
      </c>
      <c r="E22" s="322">
        <f t="shared" si="9"/>
        <v>68.39909999999999</v>
      </c>
      <c r="F22" s="322">
        <f t="shared" si="1"/>
        <v>56.429257499999991</v>
      </c>
      <c r="G22" s="330">
        <f t="shared" si="2"/>
        <v>106.7030810140046</v>
      </c>
      <c r="H22" s="322">
        <f t="shared" si="17"/>
        <v>19.656089345860661</v>
      </c>
      <c r="I22" s="322">
        <f t="shared" si="16"/>
        <v>10.073640383869066</v>
      </c>
      <c r="J22" s="326">
        <f t="shared" si="4"/>
        <v>0.51249463749463753</v>
      </c>
      <c r="K22" s="149">
        <f t="shared" si="10"/>
        <v>29.729729729729726</v>
      </c>
      <c r="L22" s="298">
        <f t="shared" si="11"/>
        <v>2.6190476190476191</v>
      </c>
      <c r="M22" s="298">
        <f t="shared" si="12"/>
        <v>1.6369047619047619</v>
      </c>
      <c r="N22" s="327">
        <f t="shared" si="13"/>
        <v>20.625</v>
      </c>
      <c r="O22" s="136">
        <f t="shared" si="5"/>
        <v>0.35757575757575766</v>
      </c>
      <c r="P22" s="134">
        <v>28</v>
      </c>
      <c r="Q22" s="134">
        <f t="shared" si="6"/>
        <v>30.520000000000003</v>
      </c>
      <c r="R22" s="133">
        <f t="shared" si="7"/>
        <v>0.46788990825688059</v>
      </c>
      <c r="S22" s="143">
        <f t="shared" si="8"/>
        <v>30.275229357798164</v>
      </c>
      <c r="T22" s="361">
        <v>33</v>
      </c>
      <c r="U22" s="355">
        <f t="shared" si="14"/>
        <v>0.82499999999999996</v>
      </c>
    </row>
    <row r="23" spans="1:27" ht="21.75" thickBot="1">
      <c r="A23" s="590">
        <f t="shared" si="15"/>
        <v>2111067</v>
      </c>
      <c r="B23" s="139" t="s">
        <v>78</v>
      </c>
      <c r="C23" s="138">
        <v>7.22E-2</v>
      </c>
      <c r="D23" s="385">
        <f t="shared" si="0"/>
        <v>5.5594000000000001</v>
      </c>
      <c r="E23" s="322">
        <f t="shared" si="9"/>
        <v>70.048439999999999</v>
      </c>
      <c r="F23" s="322">
        <f t="shared" si="1"/>
        <v>57.789962999999993</v>
      </c>
      <c r="G23" s="330">
        <f t="shared" si="2"/>
        <v>109.27606310937776</v>
      </c>
      <c r="H23" s="322">
        <f t="shared" si="17"/>
        <v>19.656089345860661</v>
      </c>
      <c r="I23" s="322">
        <f t="shared" si="16"/>
        <v>10.073640383869066</v>
      </c>
      <c r="J23" s="326">
        <f t="shared" si="4"/>
        <v>0.51249463749463753</v>
      </c>
      <c r="K23" s="149">
        <f t="shared" si="10"/>
        <v>29.729729729729726</v>
      </c>
      <c r="L23" s="298">
        <f t="shared" si="11"/>
        <v>2.6190476190476191</v>
      </c>
      <c r="M23" s="298">
        <f t="shared" si="12"/>
        <v>1.6369047619047619</v>
      </c>
      <c r="N23" s="327">
        <f t="shared" si="13"/>
        <v>20.625</v>
      </c>
      <c r="O23" s="136">
        <f t="shared" si="5"/>
        <v>0.35757575757575766</v>
      </c>
      <c r="P23" s="134">
        <v>28</v>
      </c>
      <c r="Q23" s="134">
        <f t="shared" si="6"/>
        <v>30.520000000000003</v>
      </c>
      <c r="R23" s="133">
        <f t="shared" si="7"/>
        <v>0.46788990825688059</v>
      </c>
      <c r="S23" s="143">
        <f t="shared" si="8"/>
        <v>30.275229357798164</v>
      </c>
      <c r="T23" s="361">
        <v>33</v>
      </c>
      <c r="U23" s="355">
        <f t="shared" si="14"/>
        <v>0.82499999999999996</v>
      </c>
    </row>
    <row r="24" spans="1:27" ht="21.75" hidden="1" thickBot="1">
      <c r="A24" s="590">
        <f t="shared" si="15"/>
        <v>2111067</v>
      </c>
      <c r="B24" s="139" t="s">
        <v>23</v>
      </c>
      <c r="C24" s="138">
        <v>0</v>
      </c>
      <c r="D24" s="385">
        <f t="shared" si="0"/>
        <v>0</v>
      </c>
      <c r="E24" s="322">
        <f t="shared" si="9"/>
        <v>0</v>
      </c>
      <c r="F24" s="322">
        <f t="shared" si="1"/>
        <v>0</v>
      </c>
      <c r="G24" s="330">
        <f t="shared" si="2"/>
        <v>0</v>
      </c>
      <c r="H24" s="322">
        <f t="shared" si="17"/>
        <v>0</v>
      </c>
      <c r="I24" s="322">
        <f t="shared" si="16"/>
        <v>22.972972972972972</v>
      </c>
      <c r="J24" s="326">
        <f t="shared" si="4"/>
        <v>0</v>
      </c>
      <c r="K24" s="149">
        <f t="shared" si="10"/>
        <v>22.972972972972972</v>
      </c>
      <c r="L24" s="298">
        <f t="shared" si="11"/>
        <v>2.0238095238095237</v>
      </c>
      <c r="M24" s="298">
        <f t="shared" si="12"/>
        <v>1.2648809523809523</v>
      </c>
      <c r="N24" s="327">
        <f t="shared" si="13"/>
        <v>15.937499999999998</v>
      </c>
      <c r="O24" s="136">
        <f t="shared" si="5"/>
        <v>6.0392156862745017E-2</v>
      </c>
      <c r="P24" s="134">
        <v>16.899999999999999</v>
      </c>
      <c r="Q24" s="134">
        <f t="shared" si="6"/>
        <v>18.420999999999999</v>
      </c>
      <c r="R24" s="133">
        <f t="shared" si="7"/>
        <v>0.46788990825688082</v>
      </c>
      <c r="S24" s="143">
        <f t="shared" si="8"/>
        <v>23.394495412844034</v>
      </c>
      <c r="T24" s="361">
        <v>25.5</v>
      </c>
      <c r="U24" s="355">
        <f t="shared" si="14"/>
        <v>0.63749999999999996</v>
      </c>
    </row>
    <row r="25" spans="1:27" ht="21.75" thickBot="1">
      <c r="A25" s="590">
        <f t="shared" si="15"/>
        <v>2111067</v>
      </c>
      <c r="B25" s="139" t="s">
        <v>79</v>
      </c>
      <c r="C25" s="138">
        <v>0.1797</v>
      </c>
      <c r="D25" s="385">
        <f t="shared" si="0"/>
        <v>13.8369</v>
      </c>
      <c r="E25" s="322">
        <f t="shared" si="9"/>
        <v>174.34494000000001</v>
      </c>
      <c r="F25" s="322">
        <f t="shared" si="1"/>
        <v>106.78627575000002</v>
      </c>
      <c r="G25" s="330">
        <f t="shared" si="2"/>
        <v>201.92405743662474</v>
      </c>
      <c r="H25" s="322">
        <f t="shared" si="17"/>
        <v>14.593157241623826</v>
      </c>
      <c r="I25" s="322">
        <f t="shared" si="16"/>
        <v>7.4789148304482449</v>
      </c>
      <c r="J25" s="326">
        <f t="shared" si="4"/>
        <v>0.51249463749463731</v>
      </c>
      <c r="K25" s="149">
        <f t="shared" si="10"/>
        <v>22.072072072072071</v>
      </c>
      <c r="L25" s="298">
        <f t="shared" si="11"/>
        <v>1.9444444444444444</v>
      </c>
      <c r="M25" s="298">
        <f t="shared" si="12"/>
        <v>1.2152777777777777</v>
      </c>
      <c r="N25" s="327">
        <f t="shared" si="13"/>
        <v>15.312499999999998</v>
      </c>
      <c r="O25" s="136">
        <f t="shared" si="5"/>
        <v>0.30612244897959195</v>
      </c>
      <c r="P25" s="134">
        <v>20</v>
      </c>
      <c r="Q25" s="134">
        <f t="shared" si="6"/>
        <v>21.8</v>
      </c>
      <c r="R25" s="133">
        <f t="shared" si="7"/>
        <v>0.46788990825688082</v>
      </c>
      <c r="S25" s="143">
        <f t="shared" si="8"/>
        <v>22.477064220183486</v>
      </c>
      <c r="T25" s="361">
        <v>24.5</v>
      </c>
      <c r="U25" s="355">
        <f t="shared" si="14"/>
        <v>0.61250000000000004</v>
      </c>
    </row>
    <row r="26" spans="1:27" ht="21.75" hidden="1" thickBot="1">
      <c r="A26" s="590">
        <f t="shared" si="15"/>
        <v>2111067</v>
      </c>
      <c r="B26" s="139" t="s">
        <v>21</v>
      </c>
      <c r="C26" s="138">
        <v>0</v>
      </c>
      <c r="D26" s="385">
        <f t="shared" si="0"/>
        <v>0</v>
      </c>
      <c r="E26" s="322">
        <f t="shared" si="9"/>
        <v>0</v>
      </c>
      <c r="F26" s="322">
        <f t="shared" si="1"/>
        <v>0</v>
      </c>
      <c r="G26" s="330">
        <f t="shared" si="2"/>
        <v>0</v>
      </c>
      <c r="H26" s="322">
        <f t="shared" si="17"/>
        <v>0</v>
      </c>
      <c r="I26" s="322">
        <f t="shared" si="16"/>
        <v>23.423423423423422</v>
      </c>
      <c r="J26" s="326">
        <f t="shared" si="4"/>
        <v>0</v>
      </c>
      <c r="K26" s="149">
        <f t="shared" si="10"/>
        <v>23.423423423423422</v>
      </c>
      <c r="L26" s="298">
        <f t="shared" si="11"/>
        <v>2.0634920634920637</v>
      </c>
      <c r="M26" s="298">
        <f t="shared" si="12"/>
        <v>1.2896825396825398</v>
      </c>
      <c r="N26" s="327">
        <f t="shared" si="13"/>
        <v>16.25</v>
      </c>
      <c r="O26" s="136">
        <f t="shared" si="5"/>
        <v>0.29230769230769238</v>
      </c>
      <c r="P26" s="134">
        <v>21</v>
      </c>
      <c r="Q26" s="134">
        <f t="shared" si="6"/>
        <v>22.89</v>
      </c>
      <c r="R26" s="133">
        <f t="shared" si="7"/>
        <v>0.46788990825688059</v>
      </c>
      <c r="S26" s="143">
        <f t="shared" si="8"/>
        <v>23.853211009174309</v>
      </c>
      <c r="T26" s="361">
        <v>26</v>
      </c>
      <c r="U26" s="355">
        <f t="shared" si="14"/>
        <v>0.65</v>
      </c>
    </row>
    <row r="27" spans="1:27" ht="21.75" hidden="1" thickBot="1">
      <c r="A27" s="590">
        <f t="shared" si="15"/>
        <v>2111067</v>
      </c>
      <c r="B27" s="139" t="s">
        <v>20</v>
      </c>
      <c r="C27" s="138">
        <v>0</v>
      </c>
      <c r="D27" s="385">
        <f t="shared" si="0"/>
        <v>0</v>
      </c>
      <c r="E27" s="322">
        <f t="shared" si="9"/>
        <v>0</v>
      </c>
      <c r="F27" s="322">
        <f t="shared" si="1"/>
        <v>0</v>
      </c>
      <c r="G27" s="330">
        <f t="shared" si="2"/>
        <v>0</v>
      </c>
      <c r="H27" s="322">
        <f t="shared" si="17"/>
        <v>0</v>
      </c>
      <c r="I27" s="322">
        <f t="shared" si="16"/>
        <v>24.774774774774773</v>
      </c>
      <c r="J27" s="326">
        <f t="shared" si="4"/>
        <v>0</v>
      </c>
      <c r="K27" s="149">
        <f t="shared" si="10"/>
        <v>24.774774774774773</v>
      </c>
      <c r="L27" s="298">
        <f t="shared" si="11"/>
        <v>2.1825396825396828</v>
      </c>
      <c r="M27" s="298">
        <f t="shared" si="12"/>
        <v>1.3640873015873016</v>
      </c>
      <c r="N27" s="327">
        <f t="shared" si="13"/>
        <v>17.1875</v>
      </c>
      <c r="O27" s="136">
        <f t="shared" si="5"/>
        <v>0.25090909090909097</v>
      </c>
      <c r="P27" s="134">
        <v>21.5</v>
      </c>
      <c r="Q27" s="134">
        <f t="shared" si="6"/>
        <v>23.435000000000002</v>
      </c>
      <c r="R27" s="133">
        <f t="shared" si="7"/>
        <v>0.46788990825688059</v>
      </c>
      <c r="S27" s="143">
        <f t="shared" si="8"/>
        <v>25.229357798165136</v>
      </c>
      <c r="T27" s="361">
        <v>27.5</v>
      </c>
      <c r="U27" s="355">
        <f t="shared" si="14"/>
        <v>0.6875</v>
      </c>
    </row>
    <row r="28" spans="1:27" ht="21.75" thickBot="1">
      <c r="A28" s="590">
        <f t="shared" si="15"/>
        <v>2111067</v>
      </c>
      <c r="B28" s="139" t="s">
        <v>80</v>
      </c>
      <c r="C28" s="138">
        <v>0.2326</v>
      </c>
      <c r="D28" s="385">
        <f t="shared" si="0"/>
        <v>17.9102</v>
      </c>
      <c r="E28" s="322">
        <f t="shared" si="9"/>
        <v>225.66852</v>
      </c>
      <c r="F28" s="322">
        <f t="shared" si="1"/>
        <v>118.47597300000001</v>
      </c>
      <c r="G28" s="330">
        <f t="shared" si="2"/>
        <v>224.02831271051235</v>
      </c>
      <c r="H28" s="322">
        <f t="shared" si="17"/>
        <v>12.508420492820424</v>
      </c>
      <c r="I28" s="322">
        <f t="shared" si="16"/>
        <v>6.4104984260984921</v>
      </c>
      <c r="J28" s="326">
        <f t="shared" si="4"/>
        <v>0.51249463749463697</v>
      </c>
      <c r="K28" s="149">
        <f t="shared" si="10"/>
        <v>18.918918918918916</v>
      </c>
      <c r="L28" s="298">
        <f t="shared" si="11"/>
        <v>1.6666666666666667</v>
      </c>
      <c r="M28" s="298">
        <f t="shared" si="12"/>
        <v>1.0416666666666667</v>
      </c>
      <c r="N28" s="327">
        <f t="shared" si="13"/>
        <v>13.125</v>
      </c>
      <c r="O28" s="136">
        <f t="shared" si="5"/>
        <v>0.37142857142857144</v>
      </c>
      <c r="P28" s="134">
        <v>18</v>
      </c>
      <c r="Q28" s="134">
        <f t="shared" si="6"/>
        <v>19.62</v>
      </c>
      <c r="R28" s="133">
        <f t="shared" si="7"/>
        <v>0.46788990825688059</v>
      </c>
      <c r="S28" s="143">
        <f t="shared" si="8"/>
        <v>19.266055045871557</v>
      </c>
      <c r="T28" s="361">
        <v>21</v>
      </c>
      <c r="U28" s="355">
        <f t="shared" si="14"/>
        <v>0.52500000000000002</v>
      </c>
    </row>
    <row r="29" spans="1:27" ht="21.75" hidden="1" thickBot="1">
      <c r="A29" s="590">
        <f t="shared" si="15"/>
        <v>2111067</v>
      </c>
      <c r="B29" s="139" t="s">
        <v>18</v>
      </c>
      <c r="C29" s="138">
        <v>0</v>
      </c>
      <c r="D29" s="385">
        <f t="shared" si="0"/>
        <v>0</v>
      </c>
      <c r="E29" s="322">
        <f t="shared" si="9"/>
        <v>0</v>
      </c>
      <c r="F29" s="322">
        <f t="shared" si="1"/>
        <v>0</v>
      </c>
      <c r="G29" s="330">
        <f t="shared" si="2"/>
        <v>0</v>
      </c>
      <c r="H29" s="322">
        <f t="shared" si="17"/>
        <v>0</v>
      </c>
      <c r="I29" s="322">
        <f t="shared" si="16"/>
        <v>22.072072072072071</v>
      </c>
      <c r="J29" s="326">
        <f t="shared" si="4"/>
        <v>0</v>
      </c>
      <c r="K29" s="149">
        <f t="shared" si="10"/>
        <v>22.072072072072071</v>
      </c>
      <c r="L29" s="298">
        <f t="shared" si="11"/>
        <v>1.9444444444444444</v>
      </c>
      <c r="M29" s="298">
        <f t="shared" si="12"/>
        <v>1.2152777777777777</v>
      </c>
      <c r="N29" s="327">
        <f t="shared" si="13"/>
        <v>15.312499999999998</v>
      </c>
      <c r="O29" s="136">
        <f t="shared" si="5"/>
        <v>0.17551020408163276</v>
      </c>
      <c r="P29" s="134">
        <v>18</v>
      </c>
      <c r="Q29" s="134">
        <f t="shared" si="6"/>
        <v>19.62</v>
      </c>
      <c r="R29" s="133">
        <f t="shared" si="7"/>
        <v>0.46788990825688082</v>
      </c>
      <c r="S29" s="143">
        <f t="shared" si="8"/>
        <v>22.477064220183486</v>
      </c>
      <c r="T29" s="361">
        <v>24.5</v>
      </c>
      <c r="U29" s="355">
        <f t="shared" si="14"/>
        <v>0.61250000000000004</v>
      </c>
    </row>
    <row r="30" spans="1:27" ht="21.75" thickBot="1">
      <c r="A30" s="590">
        <f t="shared" si="15"/>
        <v>2111067</v>
      </c>
      <c r="B30" s="146" t="s">
        <v>81</v>
      </c>
      <c r="C30" s="138">
        <v>4.58E-2</v>
      </c>
      <c r="D30" s="385">
        <f t="shared" si="0"/>
        <v>3.5266000000000002</v>
      </c>
      <c r="E30" s="322">
        <f t="shared" si="9"/>
        <v>44.435160000000003</v>
      </c>
      <c r="F30" s="322">
        <f t="shared" si="1"/>
        <v>8.8870320000000014</v>
      </c>
      <c r="G30" s="330">
        <f t="shared" si="2"/>
        <v>16.80464598475448</v>
      </c>
      <c r="H30" s="322">
        <f t="shared" si="17"/>
        <v>4.7651125686934952</v>
      </c>
      <c r="I30" s="322">
        <f t="shared" si="16"/>
        <v>2.4420946385137112</v>
      </c>
      <c r="J30" s="326">
        <f t="shared" si="4"/>
        <v>0.51249463749463697</v>
      </c>
      <c r="K30" s="149">
        <f t="shared" si="10"/>
        <v>7.2072072072072064</v>
      </c>
      <c r="L30" s="298">
        <f t="shared" si="11"/>
        <v>0.63492063492063489</v>
      </c>
      <c r="M30" s="298">
        <f t="shared" si="12"/>
        <v>0.3968253968253968</v>
      </c>
      <c r="N30" s="327">
        <f>M30*$N$10</f>
        <v>5</v>
      </c>
      <c r="O30" s="136">
        <f t="shared" si="5"/>
        <v>0.35999999999999988</v>
      </c>
      <c r="P30" s="134">
        <v>6.8</v>
      </c>
      <c r="Q30" s="134">
        <f t="shared" si="6"/>
        <v>7.4119999999999999</v>
      </c>
      <c r="R30" s="133">
        <f t="shared" si="7"/>
        <v>0.46788990825688059</v>
      </c>
      <c r="S30" s="143">
        <f t="shared" si="8"/>
        <v>7.3394495412844032</v>
      </c>
      <c r="T30" s="361">
        <v>8</v>
      </c>
      <c r="U30" s="355">
        <f t="shared" si="14"/>
        <v>0.2</v>
      </c>
    </row>
    <row r="31" spans="1:27" ht="21.75" thickBot="1">
      <c r="A31" s="590">
        <f t="shared" si="15"/>
        <v>2111067</v>
      </c>
      <c r="B31" s="146" t="s">
        <v>82</v>
      </c>
      <c r="C31" s="138">
        <v>3.61E-2</v>
      </c>
      <c r="D31" s="385">
        <f t="shared" si="0"/>
        <v>2.7797000000000001</v>
      </c>
      <c r="E31" s="322">
        <f t="shared" si="9"/>
        <v>35.02422</v>
      </c>
      <c r="F31" s="322">
        <f t="shared" si="1"/>
        <v>10.507266</v>
      </c>
      <c r="G31" s="330">
        <f t="shared" si="2"/>
        <v>19.868375110795959</v>
      </c>
      <c r="H31" s="322">
        <f t="shared" si="17"/>
        <v>7.1476688530402415</v>
      </c>
      <c r="I31" s="322">
        <f t="shared" si="16"/>
        <v>3.6631419577705691</v>
      </c>
      <c r="J31" s="326">
        <f t="shared" si="4"/>
        <v>0.51249463749463742</v>
      </c>
      <c r="K31" s="149">
        <f t="shared" si="10"/>
        <v>10.810810810810811</v>
      </c>
      <c r="L31" s="298">
        <f t="shared" si="11"/>
        <v>0.95238095238095244</v>
      </c>
      <c r="M31" s="298">
        <f t="shared" si="12"/>
        <v>0.59523809523809523</v>
      </c>
      <c r="N31" s="327">
        <f t="shared" si="13"/>
        <v>7.5</v>
      </c>
      <c r="O31" s="136">
        <f t="shared" si="5"/>
        <v>0.33333333333333326</v>
      </c>
      <c r="P31" s="134">
        <v>10</v>
      </c>
      <c r="Q31" s="134">
        <f t="shared" si="6"/>
        <v>10.9</v>
      </c>
      <c r="R31" s="133">
        <f t="shared" si="7"/>
        <v>0.46788990825688059</v>
      </c>
      <c r="S31" s="143">
        <f t="shared" si="8"/>
        <v>11.009174311926605</v>
      </c>
      <c r="T31" s="361">
        <v>12</v>
      </c>
      <c r="U31" s="355">
        <f t="shared" si="14"/>
        <v>0.3</v>
      </c>
    </row>
    <row r="32" spans="1:27" ht="21.75" hidden="1" thickBot="1">
      <c r="A32" s="590">
        <f t="shared" si="15"/>
        <v>2111067</v>
      </c>
      <c r="B32" s="146" t="s">
        <v>15</v>
      </c>
      <c r="C32" s="138">
        <v>0</v>
      </c>
      <c r="D32" s="385">
        <f t="shared" si="0"/>
        <v>0</v>
      </c>
      <c r="E32" s="322">
        <f t="shared" si="9"/>
        <v>0</v>
      </c>
      <c r="F32" s="322">
        <f t="shared" si="1"/>
        <v>0</v>
      </c>
      <c r="G32" s="330">
        <f t="shared" si="2"/>
        <v>0</v>
      </c>
      <c r="H32" s="322">
        <f t="shared" si="17"/>
        <v>0</v>
      </c>
      <c r="I32" s="322">
        <f t="shared" si="16"/>
        <v>13.513513513513512</v>
      </c>
      <c r="J32" s="326">
        <f t="shared" si="4"/>
        <v>0</v>
      </c>
      <c r="K32" s="149">
        <f t="shared" si="10"/>
        <v>13.513513513513512</v>
      </c>
      <c r="L32" s="298">
        <f t="shared" si="11"/>
        <v>1.1904761904761905</v>
      </c>
      <c r="M32" s="298">
        <f t="shared" si="12"/>
        <v>0.74404761904761896</v>
      </c>
      <c r="N32" s="327">
        <f t="shared" si="13"/>
        <v>9.3749999999999982</v>
      </c>
      <c r="O32" s="136">
        <f t="shared" si="5"/>
        <v>0.28000000000000025</v>
      </c>
      <c r="P32" s="134">
        <v>12</v>
      </c>
      <c r="Q32" s="134">
        <f t="shared" si="6"/>
        <v>13.080000000000002</v>
      </c>
      <c r="R32" s="133">
        <f t="shared" si="7"/>
        <v>0.46788990825688082</v>
      </c>
      <c r="S32" s="143">
        <f t="shared" si="8"/>
        <v>13.761467889908255</v>
      </c>
      <c r="T32" s="361">
        <v>15</v>
      </c>
      <c r="U32" s="355">
        <f t="shared" si="14"/>
        <v>0.375</v>
      </c>
    </row>
    <row r="33" spans="1:21" ht="21.75" thickBot="1">
      <c r="A33" s="590">
        <f t="shared" si="15"/>
        <v>2111067</v>
      </c>
      <c r="B33" s="146" t="s">
        <v>83</v>
      </c>
      <c r="C33" s="138">
        <v>3.5200000000000002E-2</v>
      </c>
      <c r="D33" s="385">
        <f t="shared" si="0"/>
        <v>2.7104000000000004</v>
      </c>
      <c r="E33" s="322">
        <f t="shared" si="9"/>
        <v>34.151040000000002</v>
      </c>
      <c r="F33" s="322">
        <f t="shared" si="1"/>
        <v>10.245312</v>
      </c>
      <c r="G33" s="330">
        <f t="shared" si="2"/>
        <v>19.373041659280272</v>
      </c>
      <c r="H33" s="322">
        <f t="shared" si="17"/>
        <v>7.1476688530402415</v>
      </c>
      <c r="I33" s="322">
        <f t="shared" si="16"/>
        <v>3.6631419577705691</v>
      </c>
      <c r="J33" s="326">
        <f t="shared" si="4"/>
        <v>0.51249463749463742</v>
      </c>
      <c r="K33" s="149">
        <f t="shared" si="10"/>
        <v>10.810810810810811</v>
      </c>
      <c r="L33" s="298">
        <f t="shared" si="11"/>
        <v>0.95238095238095244</v>
      </c>
      <c r="M33" s="298">
        <f t="shared" si="12"/>
        <v>0.59523809523809523</v>
      </c>
      <c r="N33" s="327">
        <f t="shared" si="13"/>
        <v>7.5</v>
      </c>
      <c r="O33" s="136">
        <f t="shared" si="5"/>
        <v>0.46666666666666656</v>
      </c>
      <c r="P33" s="134">
        <v>11</v>
      </c>
      <c r="Q33" s="134">
        <f t="shared" si="6"/>
        <v>11.99</v>
      </c>
      <c r="R33" s="133">
        <f t="shared" si="7"/>
        <v>0.46788990825688059</v>
      </c>
      <c r="S33" s="143">
        <f t="shared" si="8"/>
        <v>11.009174311926605</v>
      </c>
      <c r="T33" s="361">
        <v>12</v>
      </c>
      <c r="U33" s="355">
        <f t="shared" si="14"/>
        <v>0.3</v>
      </c>
    </row>
    <row r="34" spans="1:21" ht="21.75" thickBot="1">
      <c r="A34" s="590">
        <f t="shared" si="15"/>
        <v>2111067</v>
      </c>
      <c r="B34" s="146" t="s">
        <v>13</v>
      </c>
      <c r="C34" s="138">
        <v>8.8000000000000005E-3</v>
      </c>
      <c r="D34" s="385">
        <f t="shared" si="0"/>
        <v>0.67760000000000009</v>
      </c>
      <c r="E34" s="322">
        <f t="shared" si="9"/>
        <v>8.5377600000000005</v>
      </c>
      <c r="F34" s="322">
        <f t="shared" si="1"/>
        <v>2.561328</v>
      </c>
      <c r="G34" s="330">
        <f t="shared" si="2"/>
        <v>4.843260414820068</v>
      </c>
      <c r="H34" s="322">
        <f t="shared" si="17"/>
        <v>7.1476688530402415</v>
      </c>
      <c r="I34" s="322">
        <f t="shared" si="16"/>
        <v>3.6631419577705691</v>
      </c>
      <c r="J34" s="326">
        <f t="shared" si="4"/>
        <v>0.51249463749463742</v>
      </c>
      <c r="K34" s="149">
        <f t="shared" si="10"/>
        <v>10.810810810810811</v>
      </c>
      <c r="L34" s="298">
        <f t="shared" si="11"/>
        <v>0.95238095238095244</v>
      </c>
      <c r="M34" s="298">
        <f t="shared" si="12"/>
        <v>0.59523809523809523</v>
      </c>
      <c r="N34" s="327">
        <f t="shared" si="13"/>
        <v>7.5</v>
      </c>
      <c r="O34" s="136">
        <f t="shared" si="5"/>
        <v>0.46666666666666656</v>
      </c>
      <c r="P34" s="134">
        <v>11</v>
      </c>
      <c r="Q34" s="134">
        <f t="shared" si="6"/>
        <v>11.99</v>
      </c>
      <c r="R34" s="133">
        <f t="shared" si="7"/>
        <v>0.46788990825688059</v>
      </c>
      <c r="S34" s="143">
        <f t="shared" si="8"/>
        <v>11.009174311926605</v>
      </c>
      <c r="T34" s="361">
        <v>12</v>
      </c>
      <c r="U34" s="355">
        <f t="shared" si="14"/>
        <v>0.3</v>
      </c>
    </row>
    <row r="35" spans="1:21" ht="21.75" thickBot="1">
      <c r="A35" s="590">
        <f t="shared" si="15"/>
        <v>2111067</v>
      </c>
      <c r="B35" s="139" t="s">
        <v>84</v>
      </c>
      <c r="C35" s="138">
        <v>1.06E-2</v>
      </c>
      <c r="D35" s="385">
        <f t="shared" si="0"/>
        <v>0.81620000000000004</v>
      </c>
      <c r="E35" s="322">
        <f t="shared" si="9"/>
        <v>10.28412</v>
      </c>
      <c r="F35" s="322">
        <f t="shared" si="1"/>
        <v>10.28412</v>
      </c>
      <c r="G35" s="330">
        <f t="shared" si="2"/>
        <v>19.44642439283815</v>
      </c>
      <c r="H35" s="322">
        <f t="shared" si="17"/>
        <v>23.82556284346747</v>
      </c>
      <c r="I35" s="322">
        <f t="shared" si="16"/>
        <v>12.210473192568561</v>
      </c>
      <c r="J35" s="326">
        <f t="shared" si="4"/>
        <v>0.51249463749463731</v>
      </c>
      <c r="K35" s="149">
        <f t="shared" si="10"/>
        <v>36.03603603603603</v>
      </c>
      <c r="L35" s="298">
        <f t="shared" si="11"/>
        <v>3.1746031746031749</v>
      </c>
      <c r="M35" s="298">
        <f t="shared" si="12"/>
        <v>1.9841269841269842</v>
      </c>
      <c r="N35" s="327">
        <f t="shared" si="13"/>
        <v>25</v>
      </c>
      <c r="O35" s="136">
        <f t="shared" si="5"/>
        <v>0.19999999999999996</v>
      </c>
      <c r="P35" s="134">
        <v>30</v>
      </c>
      <c r="Q35" s="134">
        <f t="shared" si="6"/>
        <v>32.700000000000003</v>
      </c>
      <c r="R35" s="133">
        <f t="shared" si="7"/>
        <v>0.46788990825688082</v>
      </c>
      <c r="S35" s="143">
        <f t="shared" si="8"/>
        <v>36.697247706422019</v>
      </c>
      <c r="T35" s="361">
        <v>40</v>
      </c>
      <c r="U35" s="355">
        <f t="shared" si="14"/>
        <v>1</v>
      </c>
    </row>
    <row r="36" spans="1:21" ht="21.75" hidden="1" thickBot="1">
      <c r="A36" s="590">
        <f t="shared" si="15"/>
        <v>2111067</v>
      </c>
      <c r="B36" s="139" t="s">
        <v>11</v>
      </c>
      <c r="C36" s="138">
        <v>0</v>
      </c>
      <c r="D36" s="385">
        <f t="shared" si="0"/>
        <v>0</v>
      </c>
      <c r="E36" s="322">
        <f t="shared" si="9"/>
        <v>0</v>
      </c>
      <c r="F36" s="322">
        <f t="shared" si="1"/>
        <v>0</v>
      </c>
      <c r="G36" s="330">
        <f t="shared" si="2"/>
        <v>0</v>
      </c>
      <c r="H36" s="322">
        <f t="shared" si="17"/>
        <v>0</v>
      </c>
      <c r="I36" s="322">
        <f t="shared" si="16"/>
        <v>23.423423423423422</v>
      </c>
      <c r="J36" s="326">
        <f t="shared" si="4"/>
        <v>0</v>
      </c>
      <c r="K36" s="149">
        <f t="shared" si="10"/>
        <v>23.423423423423422</v>
      </c>
      <c r="L36" s="298">
        <f t="shared" si="11"/>
        <v>2.0634920634920637</v>
      </c>
      <c r="M36" s="298">
        <f t="shared" si="12"/>
        <v>1.2896825396825398</v>
      </c>
      <c r="N36" s="327">
        <f t="shared" si="13"/>
        <v>16.25</v>
      </c>
      <c r="O36" s="136">
        <f t="shared" si="5"/>
        <v>0.1692307692307693</v>
      </c>
      <c r="P36" s="134">
        <v>19</v>
      </c>
      <c r="Q36" s="134">
        <f t="shared" si="6"/>
        <v>20.71</v>
      </c>
      <c r="R36" s="133">
        <f t="shared" si="7"/>
        <v>0.46788990825688059</v>
      </c>
      <c r="S36" s="143">
        <f t="shared" si="8"/>
        <v>23.853211009174309</v>
      </c>
      <c r="T36" s="361">
        <v>26</v>
      </c>
      <c r="U36" s="355">
        <f t="shared" si="14"/>
        <v>0.65</v>
      </c>
    </row>
    <row r="37" spans="1:21" ht="21.75" hidden="1" thickBot="1">
      <c r="A37" s="590">
        <f t="shared" si="15"/>
        <v>2111067</v>
      </c>
      <c r="B37" s="139" t="s">
        <v>10</v>
      </c>
      <c r="C37" s="138">
        <v>0</v>
      </c>
      <c r="D37" s="385">
        <f t="shared" si="0"/>
        <v>0</v>
      </c>
      <c r="E37" s="322">
        <f t="shared" si="9"/>
        <v>0</v>
      </c>
      <c r="F37" s="322">
        <f t="shared" si="1"/>
        <v>0</v>
      </c>
      <c r="G37" s="330">
        <f t="shared" si="2"/>
        <v>0</v>
      </c>
      <c r="H37" s="322">
        <f t="shared" si="17"/>
        <v>0</v>
      </c>
      <c r="I37" s="322">
        <f t="shared" si="16"/>
        <v>22.072072072072071</v>
      </c>
      <c r="J37" s="326">
        <f t="shared" si="4"/>
        <v>0</v>
      </c>
      <c r="K37" s="149">
        <f t="shared" si="10"/>
        <v>22.072072072072071</v>
      </c>
      <c r="L37" s="298">
        <f t="shared" si="11"/>
        <v>1.9444444444444444</v>
      </c>
      <c r="M37" s="298">
        <f t="shared" si="12"/>
        <v>1.2152777777777777</v>
      </c>
      <c r="N37" s="327">
        <f t="shared" si="13"/>
        <v>15.312499999999998</v>
      </c>
      <c r="O37" s="136">
        <f t="shared" si="5"/>
        <v>0.17551020408163276</v>
      </c>
      <c r="P37" s="134">
        <v>18</v>
      </c>
      <c r="Q37" s="134">
        <f t="shared" si="6"/>
        <v>19.62</v>
      </c>
      <c r="R37" s="133">
        <f t="shared" si="7"/>
        <v>0.46788990825688082</v>
      </c>
      <c r="S37" s="143">
        <f t="shared" si="8"/>
        <v>22.477064220183486</v>
      </c>
      <c r="T37" s="361">
        <v>24.5</v>
      </c>
      <c r="U37" s="355">
        <f t="shared" si="14"/>
        <v>0.61250000000000004</v>
      </c>
    </row>
    <row r="38" spans="1:21" ht="21.75" hidden="1" thickBot="1">
      <c r="A38" s="590">
        <f t="shared" si="15"/>
        <v>2111067</v>
      </c>
      <c r="B38" s="139" t="s">
        <v>9</v>
      </c>
      <c r="C38" s="138">
        <v>0</v>
      </c>
      <c r="D38" s="385">
        <f t="shared" si="0"/>
        <v>0</v>
      </c>
      <c r="E38" s="322">
        <f t="shared" si="9"/>
        <v>0</v>
      </c>
      <c r="F38" s="322">
        <f t="shared" si="1"/>
        <v>0</v>
      </c>
      <c r="G38" s="330">
        <f t="shared" si="2"/>
        <v>0</v>
      </c>
      <c r="H38" s="322">
        <f t="shared" si="17"/>
        <v>0</v>
      </c>
      <c r="I38" s="322">
        <f t="shared" si="16"/>
        <v>22.522522522522522</v>
      </c>
      <c r="J38" s="326">
        <f t="shared" si="4"/>
        <v>0</v>
      </c>
      <c r="K38" s="149">
        <f t="shared" si="10"/>
        <v>22.522522522522522</v>
      </c>
      <c r="L38" s="298">
        <f t="shared" si="11"/>
        <v>1.9841269841269842</v>
      </c>
      <c r="M38" s="298">
        <f t="shared" si="12"/>
        <v>1.2400793650793651</v>
      </c>
      <c r="N38" s="327">
        <f t="shared" si="13"/>
        <v>15.625</v>
      </c>
      <c r="O38" s="136">
        <f t="shared" si="5"/>
        <v>0.18399999999999994</v>
      </c>
      <c r="P38" s="134">
        <v>18.5</v>
      </c>
      <c r="Q38" s="134">
        <f t="shared" si="6"/>
        <v>20.165000000000003</v>
      </c>
      <c r="R38" s="133">
        <f t="shared" si="7"/>
        <v>0.46788990825688059</v>
      </c>
      <c r="S38" s="143">
        <f t="shared" si="8"/>
        <v>22.935779816513758</v>
      </c>
      <c r="T38" s="361">
        <v>25</v>
      </c>
      <c r="U38" s="355">
        <f t="shared" si="14"/>
        <v>0.625</v>
      </c>
    </row>
    <row r="39" spans="1:21" ht="21.75" thickBot="1">
      <c r="A39" s="590">
        <f t="shared" si="15"/>
        <v>2111067</v>
      </c>
      <c r="B39" s="139" t="s">
        <v>8</v>
      </c>
      <c r="C39" s="138">
        <v>4.41E-2</v>
      </c>
      <c r="D39" s="385">
        <f t="shared" si="0"/>
        <v>3.3957000000000002</v>
      </c>
      <c r="E39" s="322">
        <f t="shared" si="9"/>
        <v>42.785820000000001</v>
      </c>
      <c r="F39" s="322">
        <f t="shared" si="1"/>
        <v>2.1392910000000001</v>
      </c>
      <c r="G39" s="330">
        <f t="shared" si="2"/>
        <v>4.0452231873781246</v>
      </c>
      <c r="H39" s="322">
        <f t="shared" si="17"/>
        <v>1.1912781421733736</v>
      </c>
      <c r="I39" s="322">
        <f t="shared" si="16"/>
        <v>0.61052365962842803</v>
      </c>
      <c r="J39" s="326">
        <f t="shared" si="4"/>
        <v>0.51249463749463731</v>
      </c>
      <c r="K39" s="149">
        <f t="shared" si="10"/>
        <v>1.8018018018018016</v>
      </c>
      <c r="L39" s="298">
        <f t="shared" si="11"/>
        <v>0.15873015873015872</v>
      </c>
      <c r="M39" s="298">
        <f t="shared" si="12"/>
        <v>9.9206349206349201E-2</v>
      </c>
      <c r="N39" s="327">
        <f t="shared" si="13"/>
        <v>1.25</v>
      </c>
      <c r="O39" s="136">
        <f>(P39/(N39))-1</f>
        <v>0.43999999999999995</v>
      </c>
      <c r="P39" s="134">
        <v>1.8</v>
      </c>
      <c r="Q39" s="134">
        <f t="shared" si="6"/>
        <v>1.9620000000000002</v>
      </c>
      <c r="R39" s="133">
        <f t="shared" si="7"/>
        <v>0.46788990825688059</v>
      </c>
      <c r="S39" s="143">
        <f t="shared" si="8"/>
        <v>1.8348623853211008</v>
      </c>
      <c r="T39" s="361">
        <v>2</v>
      </c>
      <c r="U39" s="355">
        <f t="shared" si="14"/>
        <v>0.05</v>
      </c>
    </row>
    <row r="40" spans="1:21" ht="21.75" thickBot="1">
      <c r="A40" s="591"/>
      <c r="B40" s="139" t="s">
        <v>7</v>
      </c>
      <c r="C40" s="138">
        <v>2.8E-3</v>
      </c>
      <c r="D40" s="385">
        <f t="shared" si="0"/>
        <v>0.21559999999999999</v>
      </c>
      <c r="E40" s="322">
        <f t="shared" si="9"/>
        <v>2.7165599999999999</v>
      </c>
      <c r="F40" s="322">
        <f t="shared" si="1"/>
        <v>0</v>
      </c>
      <c r="G40" s="330">
        <f t="shared" si="2"/>
        <v>0</v>
      </c>
      <c r="H40" s="322">
        <f t="shared" si="17"/>
        <v>0</v>
      </c>
      <c r="I40" s="322">
        <f t="shared" si="16"/>
        <v>0</v>
      </c>
      <c r="J40" s="326">
        <f t="shared" si="4"/>
        <v>0</v>
      </c>
      <c r="K40" s="326"/>
      <c r="L40" s="298">
        <f t="shared" si="11"/>
        <v>0</v>
      </c>
      <c r="M40" s="298">
        <f t="shared" si="12"/>
        <v>0</v>
      </c>
      <c r="N40" s="327">
        <f t="shared" si="13"/>
        <v>0</v>
      </c>
      <c r="O40" s="136"/>
      <c r="P40" s="135">
        <v>0</v>
      </c>
      <c r="Q40" s="134">
        <f t="shared" si="6"/>
        <v>0</v>
      </c>
      <c r="R40" s="133"/>
      <c r="S40" s="132"/>
      <c r="T40" s="362"/>
      <c r="U40" s="356"/>
    </row>
    <row r="41" spans="1:21" ht="21.75" thickBot="1">
      <c r="A41" s="592"/>
      <c r="B41" s="173" t="s">
        <v>108</v>
      </c>
      <c r="C41" s="267">
        <f>SUM(C13:C40)</f>
        <v>1</v>
      </c>
      <c r="D41" s="126">
        <f>SUM(D13:D40)</f>
        <v>77.000000000000014</v>
      </c>
      <c r="E41" s="363">
        <f>SUM(E13:E40)</f>
        <v>970.19999999999993</v>
      </c>
      <c r="F41" s="363">
        <f>SUM(F13:F40)</f>
        <v>513.08420624999997</v>
      </c>
      <c r="G41" s="363">
        <f>SUM(G13:G40)</f>
        <v>970.20000000000016</v>
      </c>
      <c r="H41" s="364">
        <f>SUMPRODUCT(D13:D40,H13:H40)</f>
        <v>970.20000000000016</v>
      </c>
      <c r="I41" s="364">
        <f t="shared" si="16"/>
        <v>497.2222972972969</v>
      </c>
      <c r="J41" s="365">
        <f t="shared" si="4"/>
        <v>0.51249463749463697</v>
      </c>
      <c r="K41" s="364">
        <f>T41/1.11</f>
        <v>1467.4222972972971</v>
      </c>
      <c r="L41" s="366">
        <f>T41/$N$10</f>
        <v>129.27291666666667</v>
      </c>
      <c r="M41" s="366">
        <f t="shared" si="12"/>
        <v>80.795572916666671</v>
      </c>
      <c r="N41" s="367">
        <f>SUMPRODUCT(D13:D40,N13:N40)</f>
        <v>1018.02421875</v>
      </c>
      <c r="O41" s="125"/>
      <c r="P41" s="124">
        <f>SUMPRODUCT($D$13:$D$40,$P$13:$P$40)</f>
        <v>1359.4634900000005</v>
      </c>
      <c r="Q41" s="124">
        <f>SUMPRODUCT($D$13:$D$40,$Q$13:$Q$40)</f>
        <v>1481.8152041000003</v>
      </c>
      <c r="R41" s="123"/>
      <c r="S41" s="122">
        <f>SUMPRODUCT(D13:D40,S13:S40)</f>
        <v>1494.3474770642201</v>
      </c>
      <c r="T41" s="368">
        <f>SUMPRODUCT(D13:D40,T13:T40)</f>
        <v>1628.8387499999999</v>
      </c>
      <c r="U41" s="357"/>
    </row>
    <row r="42" spans="1:21">
      <c r="A42" s="593"/>
      <c r="B42" s="65" t="s">
        <v>6</v>
      </c>
      <c r="C42" s="114" t="s">
        <v>5</v>
      </c>
      <c r="D42" s="119"/>
      <c r="E42" s="119"/>
      <c r="F42" s="331">
        <f>E41/F41</f>
        <v>1.8909176859894818</v>
      </c>
      <c r="H42" s="119"/>
      <c r="I42" s="119"/>
      <c r="J42" s="119"/>
      <c r="K42" s="119"/>
      <c r="L42" s="358">
        <f t="shared" si="11"/>
        <v>0</v>
      </c>
      <c r="M42" s="358">
        <f t="shared" si="12"/>
        <v>0</v>
      </c>
      <c r="N42" s="359">
        <f t="shared" si="13"/>
        <v>0</v>
      </c>
      <c r="O42" s="118"/>
      <c r="P42" s="118"/>
      <c r="Q42" s="118"/>
      <c r="R42" s="49"/>
      <c r="S42" s="65"/>
      <c r="T42" s="332"/>
    </row>
    <row r="43" spans="1:21">
      <c r="A43" s="594"/>
      <c r="B43" s="56" t="s">
        <v>4</v>
      </c>
      <c r="C43" s="32"/>
      <c r="D43" s="40"/>
      <c r="E43" s="40"/>
      <c r="F43" s="40"/>
      <c r="G43" s="40"/>
      <c r="H43" s="40"/>
      <c r="I43" s="40"/>
      <c r="J43" s="40"/>
      <c r="K43" s="40"/>
      <c r="L43" s="299"/>
      <c r="M43" s="299"/>
      <c r="N43" s="9"/>
      <c r="O43" s="40"/>
      <c r="P43" s="40">
        <f>P41-N41</f>
        <v>341.4392712500005</v>
      </c>
      <c r="Q43" s="40"/>
      <c r="R43" s="116">
        <f>P43/$D$10</f>
        <v>4.4342762500000061</v>
      </c>
      <c r="S43" s="40">
        <f>(S41)-(N41)</f>
        <v>476.32325831422008</v>
      </c>
      <c r="T43" s="116">
        <f>I41/D41</f>
        <v>6.4574324324324257</v>
      </c>
      <c r="U43" s="44"/>
    </row>
    <row r="44" spans="1:21">
      <c r="A44" s="594"/>
      <c r="B44" s="56" t="s">
        <v>3</v>
      </c>
      <c r="C44" s="32"/>
      <c r="D44" s="61"/>
      <c r="E44" s="61"/>
      <c r="F44" s="61"/>
      <c r="G44" s="61"/>
      <c r="H44" s="61"/>
      <c r="I44" s="61"/>
      <c r="J44" s="61"/>
      <c r="K44" s="61"/>
      <c r="L44" s="300"/>
      <c r="M44" s="300"/>
      <c r="N44" s="32"/>
      <c r="O44" s="61"/>
      <c r="P44" s="61">
        <f>P41/N41-1</f>
        <v>0.33539405542752521</v>
      </c>
      <c r="Q44" s="61"/>
      <c r="R44" s="59"/>
      <c r="S44" s="61">
        <f>(S41)/(N41)-1</f>
        <v>0.46788990825688059</v>
      </c>
      <c r="T44" s="61">
        <f>J41</f>
        <v>0.51249463749463697</v>
      </c>
      <c r="U44" s="44"/>
    </row>
    <row r="45" spans="1:21">
      <c r="A45" s="594"/>
      <c r="B45" s="56" t="s">
        <v>2</v>
      </c>
      <c r="C45" s="117"/>
      <c r="D45" s="45"/>
      <c r="E45" s="45"/>
      <c r="F45" s="45"/>
      <c r="G45" s="45"/>
      <c r="H45" s="45"/>
      <c r="I45" s="45"/>
      <c r="J45" s="45"/>
      <c r="K45" s="45"/>
      <c r="L45" s="301"/>
      <c r="M45" s="301"/>
      <c r="N45" s="32"/>
      <c r="O45" s="117">
        <f>[1]KOLTSEGEK!B27</f>
        <v>7.9729729729729728</v>
      </c>
      <c r="P45" s="45">
        <f>D10*O45</f>
        <v>613.91891891891896</v>
      </c>
      <c r="Q45" s="45"/>
      <c r="R45" s="117">
        <f>[1]KOLTSEGEK!B37</f>
        <v>0.52100000000000002</v>
      </c>
      <c r="S45" s="59">
        <f>(R45+O45)*D10</f>
        <v>654.03591891891892</v>
      </c>
      <c r="T45" s="116">
        <v>5</v>
      </c>
      <c r="U45" s="44"/>
    </row>
    <row r="46" spans="1:21">
      <c r="A46" s="594"/>
      <c r="B46" s="56" t="s">
        <v>1</v>
      </c>
      <c r="C46" s="32"/>
      <c r="D46" s="40"/>
      <c r="E46" s="40"/>
      <c r="F46" s="40"/>
      <c r="G46" s="40"/>
      <c r="H46" s="40"/>
      <c r="I46" s="40"/>
      <c r="J46" s="40"/>
      <c r="K46" s="40"/>
      <c r="L46" s="299"/>
      <c r="M46" s="299"/>
      <c r="N46" s="32"/>
      <c r="O46" s="71"/>
      <c r="P46" s="40">
        <f>P43-P45</f>
        <v>-272.47964766891846</v>
      </c>
      <c r="Q46" s="40"/>
      <c r="R46" s="116">
        <f>P46/$D$10</f>
        <v>-3.5386967229729671</v>
      </c>
      <c r="S46" s="40">
        <f>S43-S45</f>
        <v>-177.71266060469884</v>
      </c>
      <c r="T46" s="116">
        <f>T43-T45</f>
        <v>1.4574324324324257</v>
      </c>
      <c r="U46" s="44"/>
    </row>
    <row r="47" spans="1:21">
      <c r="A47" s="594"/>
      <c r="B47" s="56" t="s">
        <v>0</v>
      </c>
      <c r="C47" s="32"/>
      <c r="D47" s="35"/>
      <c r="E47" s="35"/>
      <c r="F47" s="35"/>
      <c r="G47" s="35"/>
      <c r="H47" s="35"/>
      <c r="I47" s="35"/>
      <c r="J47" s="35"/>
      <c r="K47" s="35"/>
      <c r="L47" s="302"/>
      <c r="M47" s="302"/>
      <c r="N47" s="32"/>
      <c r="O47" s="59"/>
      <c r="P47" s="35">
        <f>P46/N41</f>
        <v>-0.26765536875290419</v>
      </c>
      <c r="Q47" s="35"/>
      <c r="R47" s="59"/>
      <c r="S47" s="35">
        <f>S46/(N41)</f>
        <v>-0.17456624049956948</v>
      </c>
      <c r="T47" s="61">
        <f>T46/T43</f>
        <v>0.22569844093334648</v>
      </c>
      <c r="U47" s="39"/>
    </row>
    <row r="48" spans="1:21">
      <c r="A48" s="65"/>
      <c r="B48" s="24"/>
      <c r="C48" s="16"/>
      <c r="D48" s="115"/>
      <c r="E48" s="115"/>
      <c r="F48" s="115"/>
      <c r="G48" s="115"/>
      <c r="H48" s="115"/>
      <c r="I48" s="115"/>
      <c r="J48" s="115"/>
      <c r="K48" s="115"/>
      <c r="L48" s="303"/>
      <c r="M48" s="303"/>
      <c r="N48" s="24"/>
      <c r="O48" s="47"/>
      <c r="P48" s="47"/>
      <c r="Q48" s="47"/>
      <c r="R48" s="47"/>
      <c r="S48" s="25"/>
    </row>
    <row r="49" spans="1:41">
      <c r="A49" s="586"/>
      <c r="B49" s="460"/>
      <c r="C49" s="461"/>
      <c r="D49" s="586"/>
      <c r="E49" s="462"/>
      <c r="F49" s="462"/>
      <c r="G49" s="462"/>
      <c r="H49" s="462"/>
      <c r="I49" s="462"/>
      <c r="J49" s="462"/>
      <c r="K49" s="462"/>
      <c r="L49" s="463"/>
      <c r="M49" s="463"/>
      <c r="N49" s="606"/>
      <c r="O49" s="606"/>
      <c r="P49" s="606"/>
      <c r="Q49" s="588"/>
      <c r="R49" s="430"/>
      <c r="S49" s="587"/>
      <c r="T49" s="464"/>
      <c r="U49" s="464"/>
      <c r="V49" s="587"/>
      <c r="W49" s="587"/>
      <c r="X49" s="587"/>
      <c r="Y49" s="586"/>
      <c r="Z49" s="283"/>
      <c r="AA49" s="283"/>
    </row>
    <row r="50" spans="1:41">
      <c r="A50" s="283"/>
      <c r="B50" s="433"/>
      <c r="C50" s="284"/>
      <c r="D50" s="284"/>
      <c r="E50" s="284"/>
      <c r="F50" s="284"/>
      <c r="G50" s="284"/>
      <c r="H50" s="284"/>
      <c r="I50" s="284"/>
      <c r="J50" s="284"/>
      <c r="K50" s="284"/>
      <c r="L50" s="465"/>
      <c r="M50" s="465"/>
      <c r="N50" s="284"/>
      <c r="O50" s="284"/>
      <c r="P50" s="284"/>
      <c r="Q50" s="284"/>
      <c r="R50" s="284"/>
      <c r="S50" s="284"/>
      <c r="T50" s="284"/>
      <c r="U50" s="284"/>
      <c r="V50" s="587"/>
      <c r="W50" s="587"/>
      <c r="X50" s="587"/>
      <c r="Y50" s="586"/>
      <c r="Z50" s="283"/>
      <c r="AA50" s="283"/>
    </row>
    <row r="51" spans="1:41">
      <c r="A51" s="466"/>
      <c r="B51" s="467"/>
      <c r="C51" s="283"/>
      <c r="D51" s="283"/>
      <c r="E51" s="283"/>
      <c r="F51" s="283"/>
      <c r="G51" s="283"/>
      <c r="H51" s="283"/>
      <c r="I51" s="283"/>
      <c r="J51" s="283"/>
      <c r="K51" s="283"/>
      <c r="L51" s="468"/>
      <c r="M51" s="468"/>
      <c r="N51" s="283"/>
      <c r="O51" s="283"/>
      <c r="P51" s="283"/>
      <c r="Q51" s="283"/>
      <c r="R51" s="283"/>
      <c r="S51" s="283"/>
      <c r="T51" s="283"/>
      <c r="U51" s="283"/>
      <c r="V51" s="587"/>
      <c r="W51" s="587"/>
      <c r="X51" s="587"/>
      <c r="Y51" s="586"/>
      <c r="Z51" s="283"/>
      <c r="AA51" s="283"/>
    </row>
    <row r="52" spans="1:41">
      <c r="A52" s="434"/>
      <c r="B52" s="469"/>
      <c r="C52" s="462"/>
      <c r="D52" s="433"/>
      <c r="E52" s="433"/>
      <c r="F52" s="433"/>
      <c r="G52" s="433"/>
      <c r="H52" s="433"/>
      <c r="I52" s="433"/>
      <c r="J52" s="433"/>
      <c r="K52" s="433"/>
      <c r="L52" s="470"/>
      <c r="M52" s="470"/>
      <c r="N52" s="283"/>
      <c r="O52" s="283"/>
      <c r="P52" s="284"/>
      <c r="Q52" s="284"/>
      <c r="R52" s="284"/>
      <c r="S52" s="283"/>
      <c r="T52" s="284"/>
      <c r="U52" s="587"/>
      <c r="V52" s="587"/>
      <c r="W52" s="587"/>
      <c r="X52" s="587"/>
      <c r="Y52" s="586"/>
      <c r="Z52" s="283"/>
      <c r="AA52" s="283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>
      <c r="A53" s="471"/>
      <c r="B53" s="472"/>
      <c r="C53" s="473"/>
      <c r="D53" s="474"/>
      <c r="E53" s="473"/>
      <c r="F53" s="473"/>
      <c r="G53" s="473"/>
      <c r="H53" s="473"/>
      <c r="I53" s="473"/>
      <c r="J53" s="433"/>
      <c r="K53" s="433"/>
      <c r="L53" s="470"/>
      <c r="M53" s="470"/>
      <c r="N53" s="284"/>
      <c r="O53" s="283"/>
      <c r="P53" s="284"/>
      <c r="Q53" s="284"/>
      <c r="R53" s="284"/>
      <c r="S53" s="283"/>
      <c r="T53" s="284"/>
      <c r="U53" s="587"/>
      <c r="V53" s="587"/>
      <c r="W53" s="587"/>
      <c r="X53" s="587"/>
      <c r="Y53" s="475"/>
      <c r="Z53" s="476"/>
      <c r="AA53" s="476"/>
      <c r="AB53" s="104"/>
      <c r="AC53" s="104"/>
      <c r="AD53" s="104"/>
      <c r="AE53" s="104"/>
      <c r="AF53" s="104"/>
      <c r="AG53" s="104"/>
    </row>
    <row r="54" spans="1:41">
      <c r="A54" s="477"/>
      <c r="B54" s="474"/>
      <c r="C54" s="478"/>
      <c r="D54" s="478"/>
      <c r="E54" s="478"/>
      <c r="F54" s="478"/>
      <c r="G54" s="478"/>
      <c r="H54" s="478"/>
      <c r="I54" s="479"/>
      <c r="J54" s="284"/>
      <c r="K54" s="284"/>
      <c r="L54" s="465"/>
      <c r="M54" s="465"/>
      <c r="N54" s="284"/>
      <c r="O54" s="283"/>
      <c r="P54" s="480"/>
      <c r="Q54" s="480"/>
      <c r="R54" s="284"/>
      <c r="S54" s="283"/>
      <c r="T54" s="446"/>
      <c r="U54" s="587"/>
      <c r="V54" s="587"/>
      <c r="W54" s="587"/>
      <c r="X54" s="587"/>
      <c r="Y54" s="586"/>
      <c r="Z54" s="283"/>
      <c r="AA54" s="283"/>
      <c r="AE54" s="97"/>
      <c r="AJ54" s="97"/>
    </row>
    <row r="55" spans="1:41">
      <c r="A55" s="481"/>
      <c r="B55" s="436"/>
      <c r="C55" s="482"/>
      <c r="D55" s="587"/>
      <c r="E55" s="483"/>
      <c r="F55" s="483"/>
      <c r="G55" s="483"/>
      <c r="H55" s="483"/>
      <c r="I55" s="483"/>
      <c r="J55" s="483"/>
      <c r="K55" s="483"/>
      <c r="L55" s="484"/>
      <c r="M55" s="484"/>
      <c r="N55" s="485"/>
      <c r="O55" s="436"/>
      <c r="P55" s="451"/>
      <c r="Q55" s="451"/>
      <c r="R55" s="436"/>
      <c r="S55" s="436"/>
      <c r="T55" s="587"/>
      <c r="U55" s="588"/>
      <c r="V55" s="587"/>
      <c r="W55" s="587"/>
      <c r="X55" s="587"/>
      <c r="Y55" s="586"/>
      <c r="Z55" s="283"/>
      <c r="AA55" s="283"/>
    </row>
    <row r="56" spans="1:41" ht="62.25" customHeight="1">
      <c r="A56" s="437"/>
      <c r="B56" s="486"/>
      <c r="C56" s="437"/>
      <c r="D56" s="487"/>
      <c r="E56" s="487"/>
      <c r="F56" s="487"/>
      <c r="G56" s="487"/>
      <c r="H56" s="487"/>
      <c r="I56" s="487"/>
      <c r="J56" s="487"/>
      <c r="K56" s="450"/>
      <c r="L56" s="488"/>
      <c r="M56" s="488"/>
      <c r="N56" s="489"/>
      <c r="O56" s="490"/>
      <c r="P56" s="450"/>
      <c r="Q56" s="450"/>
      <c r="R56" s="490"/>
      <c r="S56" s="491"/>
      <c r="T56" s="492"/>
      <c r="U56" s="450"/>
      <c r="V56" s="587"/>
      <c r="W56" s="587"/>
      <c r="X56" s="587"/>
      <c r="Y56" s="586"/>
      <c r="Z56" s="283"/>
      <c r="AA56" s="283"/>
    </row>
    <row r="57" spans="1:41">
      <c r="A57" s="426"/>
      <c r="B57" s="493"/>
      <c r="C57" s="467"/>
      <c r="D57" s="494"/>
      <c r="E57" s="454"/>
      <c r="F57" s="454"/>
      <c r="G57" s="454"/>
      <c r="H57" s="454"/>
      <c r="I57" s="454"/>
      <c r="J57" s="454"/>
      <c r="K57" s="454"/>
      <c r="L57" s="495"/>
      <c r="M57" s="495"/>
      <c r="N57" s="496"/>
      <c r="O57" s="497"/>
      <c r="P57" s="498"/>
      <c r="Q57" s="498"/>
      <c r="R57" s="445"/>
      <c r="S57" s="499"/>
      <c r="T57" s="500"/>
      <c r="U57" s="500"/>
      <c r="V57" s="587"/>
      <c r="W57" s="587"/>
      <c r="X57" s="587"/>
      <c r="Y57" s="586"/>
      <c r="Z57" s="283"/>
      <c r="AA57" s="283"/>
    </row>
    <row r="58" spans="1:41">
      <c r="A58" s="439"/>
      <c r="B58" s="440"/>
      <c r="C58" s="482"/>
      <c r="D58" s="501"/>
      <c r="E58" s="501"/>
      <c r="F58" s="501"/>
      <c r="G58" s="501"/>
      <c r="H58" s="501"/>
      <c r="I58" s="501"/>
      <c r="J58" s="501"/>
      <c r="K58" s="501"/>
      <c r="L58" s="502"/>
      <c r="M58" s="502"/>
      <c r="N58" s="503"/>
      <c r="O58" s="504"/>
      <c r="P58" s="505"/>
      <c r="Q58" s="505"/>
      <c r="R58" s="506"/>
      <c r="S58" s="507"/>
      <c r="T58" s="508"/>
      <c r="U58" s="508"/>
      <c r="V58" s="587"/>
      <c r="W58" s="587"/>
      <c r="X58" s="587"/>
      <c r="Y58" s="586"/>
      <c r="Z58" s="283"/>
      <c r="AA58" s="283"/>
    </row>
    <row r="59" spans="1:41" ht="18" customHeight="1">
      <c r="A59" s="437"/>
      <c r="B59" s="437"/>
      <c r="C59" s="437"/>
      <c r="D59" s="437"/>
      <c r="E59" s="509"/>
      <c r="F59" s="437"/>
      <c r="G59" s="510"/>
      <c r="H59" s="437"/>
      <c r="I59" s="437"/>
      <c r="J59" s="437"/>
      <c r="K59" s="587"/>
      <c r="L59" s="511"/>
      <c r="M59" s="511"/>
      <c r="N59" s="512"/>
      <c r="O59" s="490"/>
      <c r="P59" s="450"/>
      <c r="Q59" s="491"/>
      <c r="R59" s="490"/>
      <c r="S59" s="491"/>
      <c r="T59" s="450"/>
      <c r="U59" s="450"/>
      <c r="V59" s="587"/>
      <c r="W59" s="513"/>
      <c r="X59" s="514"/>
      <c r="Y59" s="586"/>
      <c r="Z59" s="283"/>
      <c r="AA59" s="283"/>
    </row>
    <row r="60" spans="1:41">
      <c r="A60" s="426"/>
      <c r="B60" s="431"/>
      <c r="C60" s="442"/>
      <c r="D60" s="515"/>
      <c r="E60" s="516"/>
      <c r="F60" s="516"/>
      <c r="G60" s="517"/>
      <c r="H60" s="516"/>
      <c r="I60" s="516"/>
      <c r="J60" s="518"/>
      <c r="K60" s="451"/>
      <c r="L60" s="519"/>
      <c r="M60" s="519"/>
      <c r="N60" s="520"/>
      <c r="O60" s="497"/>
      <c r="P60" s="521"/>
      <c r="Q60" s="521"/>
      <c r="R60" s="445"/>
      <c r="S60" s="499"/>
      <c r="T60" s="451"/>
      <c r="U60" s="500"/>
      <c r="V60" s="522"/>
      <c r="W60" s="513"/>
      <c r="X60" s="514"/>
      <c r="Y60" s="586"/>
      <c r="Z60" s="283"/>
      <c r="AA60" s="283"/>
    </row>
    <row r="61" spans="1:41">
      <c r="A61" s="426"/>
      <c r="B61" s="431"/>
      <c r="C61" s="442"/>
      <c r="D61" s="515"/>
      <c r="E61" s="516"/>
      <c r="F61" s="516"/>
      <c r="G61" s="517"/>
      <c r="H61" s="516"/>
      <c r="I61" s="516"/>
      <c r="J61" s="518"/>
      <c r="K61" s="451"/>
      <c r="L61" s="519"/>
      <c r="M61" s="519"/>
      <c r="N61" s="520"/>
      <c r="O61" s="497"/>
      <c r="P61" s="521"/>
      <c r="Q61" s="521"/>
      <c r="R61" s="445"/>
      <c r="S61" s="499"/>
      <c r="T61" s="451"/>
      <c r="U61" s="500"/>
      <c r="V61" s="522"/>
      <c r="W61" s="513"/>
      <c r="X61" s="514"/>
      <c r="Y61" s="586"/>
      <c r="Z61" s="283"/>
      <c r="AA61" s="283"/>
    </row>
    <row r="62" spans="1:41" hidden="1">
      <c r="A62" s="426"/>
      <c r="B62" s="432"/>
      <c r="C62" s="442"/>
      <c r="D62" s="515"/>
      <c r="E62" s="516"/>
      <c r="F62" s="516"/>
      <c r="G62" s="517"/>
      <c r="H62" s="516"/>
      <c r="I62" s="516"/>
      <c r="J62" s="518"/>
      <c r="K62" s="451"/>
      <c r="L62" s="519"/>
      <c r="M62" s="519"/>
      <c r="N62" s="520"/>
      <c r="O62" s="497"/>
      <c r="P62" s="521"/>
      <c r="Q62" s="521"/>
      <c r="R62" s="445"/>
      <c r="S62" s="499"/>
      <c r="T62" s="451"/>
      <c r="U62" s="500"/>
      <c r="V62" s="587"/>
      <c r="W62" s="513"/>
      <c r="X62" s="514"/>
      <c r="Y62" s="586"/>
      <c r="Z62" s="283"/>
      <c r="AA62" s="283"/>
    </row>
    <row r="63" spans="1:41">
      <c r="A63" s="426"/>
      <c r="B63" s="432"/>
      <c r="C63" s="442"/>
      <c r="D63" s="515"/>
      <c r="E63" s="516"/>
      <c r="F63" s="516"/>
      <c r="G63" s="517"/>
      <c r="H63" s="516"/>
      <c r="I63" s="516"/>
      <c r="J63" s="518"/>
      <c r="K63" s="451"/>
      <c r="L63" s="519"/>
      <c r="M63" s="519"/>
      <c r="N63" s="520"/>
      <c r="O63" s="497"/>
      <c r="P63" s="521"/>
      <c r="Q63" s="521"/>
      <c r="R63" s="445"/>
      <c r="S63" s="499"/>
      <c r="T63" s="451"/>
      <c r="U63" s="500"/>
      <c r="V63" s="587"/>
      <c r="W63" s="513"/>
      <c r="X63" s="523"/>
      <c r="Y63" s="586"/>
      <c r="Z63" s="283"/>
      <c r="AA63" s="283"/>
    </row>
    <row r="64" spans="1:41">
      <c r="A64" s="426"/>
      <c r="B64" s="432"/>
      <c r="C64" s="442"/>
      <c r="D64" s="515"/>
      <c r="E64" s="516"/>
      <c r="F64" s="516"/>
      <c r="G64" s="517"/>
      <c r="H64" s="516"/>
      <c r="I64" s="516"/>
      <c r="J64" s="518"/>
      <c r="K64" s="451"/>
      <c r="L64" s="519"/>
      <c r="M64" s="519"/>
      <c r="N64" s="520"/>
      <c r="O64" s="497"/>
      <c r="P64" s="521"/>
      <c r="Q64" s="521"/>
      <c r="R64" s="445"/>
      <c r="S64" s="499"/>
      <c r="T64" s="451"/>
      <c r="U64" s="500"/>
      <c r="V64" s="587"/>
      <c r="W64" s="283"/>
      <c r="X64" s="283"/>
      <c r="Y64" s="586"/>
      <c r="Z64" s="283"/>
      <c r="AA64" s="283"/>
    </row>
    <row r="65" spans="1:27">
      <c r="A65" s="426"/>
      <c r="B65" s="432"/>
      <c r="C65" s="442"/>
      <c r="D65" s="515"/>
      <c r="E65" s="516"/>
      <c r="F65" s="516"/>
      <c r="G65" s="517"/>
      <c r="H65" s="516"/>
      <c r="I65" s="516"/>
      <c r="J65" s="518"/>
      <c r="K65" s="451"/>
      <c r="L65" s="519"/>
      <c r="M65" s="519"/>
      <c r="N65" s="520"/>
      <c r="O65" s="497"/>
      <c r="P65" s="521"/>
      <c r="Q65" s="521"/>
      <c r="R65" s="445"/>
      <c r="S65" s="499"/>
      <c r="T65" s="451"/>
      <c r="U65" s="500"/>
      <c r="V65" s="587"/>
      <c r="W65" s="587"/>
      <c r="X65" s="587"/>
      <c r="Y65" s="586"/>
      <c r="Z65" s="283"/>
      <c r="AA65" s="283"/>
    </row>
    <row r="66" spans="1:27">
      <c r="A66" s="426"/>
      <c r="B66" s="432"/>
      <c r="C66" s="442"/>
      <c r="D66" s="515"/>
      <c r="E66" s="516"/>
      <c r="F66" s="516"/>
      <c r="G66" s="517"/>
      <c r="H66" s="516"/>
      <c r="I66" s="516"/>
      <c r="J66" s="518"/>
      <c r="K66" s="451"/>
      <c r="L66" s="519"/>
      <c r="M66" s="519"/>
      <c r="N66" s="520"/>
      <c r="O66" s="497"/>
      <c r="P66" s="521"/>
      <c r="Q66" s="521"/>
      <c r="R66" s="445"/>
      <c r="S66" s="499"/>
      <c r="T66" s="451"/>
      <c r="U66" s="500"/>
      <c r="V66" s="587"/>
      <c r="W66" s="587"/>
      <c r="X66" s="587"/>
      <c r="Y66" s="586"/>
      <c r="Z66" s="283"/>
      <c r="AA66" s="283"/>
    </row>
    <row r="67" spans="1:27">
      <c r="A67" s="426"/>
      <c r="B67" s="432"/>
      <c r="C67" s="442"/>
      <c r="D67" s="515"/>
      <c r="E67" s="516"/>
      <c r="F67" s="516"/>
      <c r="G67" s="517"/>
      <c r="H67" s="516"/>
      <c r="I67" s="516"/>
      <c r="J67" s="518"/>
      <c r="K67" s="451"/>
      <c r="L67" s="519"/>
      <c r="M67" s="519"/>
      <c r="N67" s="520"/>
      <c r="O67" s="497"/>
      <c r="P67" s="521"/>
      <c r="Q67" s="521"/>
      <c r="R67" s="445"/>
      <c r="S67" s="499"/>
      <c r="T67" s="451"/>
      <c r="U67" s="500"/>
      <c r="V67" s="587"/>
      <c r="W67" s="587"/>
      <c r="X67" s="587"/>
      <c r="Y67" s="586"/>
      <c r="Z67" s="283"/>
      <c r="AA67" s="283"/>
    </row>
    <row r="68" spans="1:27">
      <c r="A68" s="426"/>
      <c r="B68" s="432"/>
      <c r="C68" s="442"/>
      <c r="D68" s="515"/>
      <c r="E68" s="516"/>
      <c r="F68" s="516"/>
      <c r="G68" s="517"/>
      <c r="H68" s="516"/>
      <c r="I68" s="516"/>
      <c r="J68" s="518"/>
      <c r="K68" s="451"/>
      <c r="L68" s="519"/>
      <c r="M68" s="519"/>
      <c r="N68" s="520"/>
      <c r="O68" s="497"/>
      <c r="P68" s="521"/>
      <c r="Q68" s="521"/>
      <c r="R68" s="445"/>
      <c r="S68" s="499"/>
      <c r="T68" s="451"/>
      <c r="U68" s="500"/>
      <c r="V68" s="587"/>
      <c r="W68" s="587"/>
      <c r="X68" s="587"/>
      <c r="Y68" s="586"/>
      <c r="Z68" s="283"/>
      <c r="AA68" s="283"/>
    </row>
    <row r="69" spans="1:27">
      <c r="A69" s="426"/>
      <c r="B69" s="432"/>
      <c r="C69" s="442"/>
      <c r="D69" s="515"/>
      <c r="E69" s="516"/>
      <c r="F69" s="516"/>
      <c r="G69" s="517"/>
      <c r="H69" s="516"/>
      <c r="I69" s="516"/>
      <c r="J69" s="518"/>
      <c r="K69" s="451"/>
      <c r="L69" s="519"/>
      <c r="M69" s="519"/>
      <c r="N69" s="520"/>
      <c r="O69" s="497"/>
      <c r="P69" s="521"/>
      <c r="Q69" s="521"/>
      <c r="R69" s="445"/>
      <c r="S69" s="499"/>
      <c r="T69" s="451"/>
      <c r="U69" s="500"/>
      <c r="V69" s="587"/>
      <c r="W69" s="587"/>
      <c r="X69" s="587"/>
      <c r="Y69" s="586"/>
      <c r="Z69" s="283"/>
      <c r="AA69" s="283"/>
    </row>
    <row r="70" spans="1:27">
      <c r="A70" s="426"/>
      <c r="B70" s="432"/>
      <c r="C70" s="442"/>
      <c r="D70" s="515"/>
      <c r="E70" s="516"/>
      <c r="F70" s="516"/>
      <c r="G70" s="517"/>
      <c r="H70" s="516"/>
      <c r="I70" s="516"/>
      <c r="J70" s="518"/>
      <c r="K70" s="451"/>
      <c r="L70" s="519"/>
      <c r="M70" s="519"/>
      <c r="N70" s="520"/>
      <c r="O70" s="497"/>
      <c r="P70" s="521"/>
      <c r="Q70" s="521"/>
      <c r="R70" s="445"/>
      <c r="S70" s="499"/>
      <c r="T70" s="451"/>
      <c r="U70" s="500"/>
      <c r="V70" s="587"/>
      <c r="W70" s="587"/>
      <c r="X70" s="587"/>
      <c r="Y70" s="586"/>
      <c r="Z70" s="283"/>
      <c r="AA70" s="283"/>
    </row>
    <row r="71" spans="1:27" hidden="1">
      <c r="A71" s="426"/>
      <c r="B71" s="432"/>
      <c r="C71" s="442"/>
      <c r="D71" s="515"/>
      <c r="E71" s="516"/>
      <c r="F71" s="516"/>
      <c r="G71" s="517"/>
      <c r="H71" s="516"/>
      <c r="I71" s="516"/>
      <c r="J71" s="518"/>
      <c r="K71" s="451"/>
      <c r="L71" s="519"/>
      <c r="M71" s="519"/>
      <c r="N71" s="520"/>
      <c r="O71" s="497"/>
      <c r="P71" s="521"/>
      <c r="Q71" s="521"/>
      <c r="R71" s="445"/>
      <c r="S71" s="499"/>
      <c r="T71" s="451"/>
      <c r="U71" s="500"/>
      <c r="V71" s="587"/>
      <c r="W71" s="587"/>
      <c r="X71" s="587"/>
      <c r="Y71" s="586"/>
      <c r="Z71" s="283"/>
      <c r="AA71" s="283"/>
    </row>
    <row r="72" spans="1:27">
      <c r="A72" s="426"/>
      <c r="B72" s="432"/>
      <c r="C72" s="442"/>
      <c r="D72" s="515"/>
      <c r="E72" s="516"/>
      <c r="F72" s="516"/>
      <c r="G72" s="517"/>
      <c r="H72" s="516"/>
      <c r="I72" s="516"/>
      <c r="J72" s="518"/>
      <c r="K72" s="451"/>
      <c r="L72" s="519"/>
      <c r="M72" s="519"/>
      <c r="N72" s="520"/>
      <c r="O72" s="497"/>
      <c r="P72" s="521"/>
      <c r="Q72" s="521"/>
      <c r="R72" s="445"/>
      <c r="S72" s="499"/>
      <c r="T72" s="451"/>
      <c r="U72" s="500"/>
      <c r="V72" s="587"/>
      <c r="W72" s="587"/>
      <c r="X72" s="587"/>
      <c r="Y72" s="586"/>
      <c r="Z72" s="283"/>
      <c r="AA72" s="283"/>
    </row>
    <row r="73" spans="1:27" hidden="1">
      <c r="A73" s="426"/>
      <c r="B73" s="432"/>
      <c r="C73" s="442"/>
      <c r="D73" s="515"/>
      <c r="E73" s="516"/>
      <c r="F73" s="516"/>
      <c r="G73" s="517"/>
      <c r="H73" s="516"/>
      <c r="I73" s="516"/>
      <c r="J73" s="518"/>
      <c r="K73" s="451"/>
      <c r="L73" s="519"/>
      <c r="M73" s="519"/>
      <c r="N73" s="520"/>
      <c r="O73" s="497"/>
      <c r="P73" s="521"/>
      <c r="Q73" s="521"/>
      <c r="R73" s="445"/>
      <c r="S73" s="499"/>
      <c r="T73" s="451"/>
      <c r="U73" s="500"/>
      <c r="V73" s="587"/>
      <c r="W73" s="587"/>
      <c r="X73" s="587"/>
      <c r="Y73" s="586"/>
      <c r="Z73" s="283"/>
      <c r="AA73" s="283"/>
    </row>
    <row r="74" spans="1:27" hidden="1">
      <c r="A74" s="426"/>
      <c r="B74" s="432"/>
      <c r="C74" s="442"/>
      <c r="D74" s="515"/>
      <c r="E74" s="516"/>
      <c r="F74" s="516"/>
      <c r="G74" s="517"/>
      <c r="H74" s="516"/>
      <c r="I74" s="516"/>
      <c r="J74" s="518"/>
      <c r="K74" s="451"/>
      <c r="L74" s="519"/>
      <c r="M74" s="519"/>
      <c r="N74" s="520"/>
      <c r="O74" s="497"/>
      <c r="P74" s="521"/>
      <c r="Q74" s="521"/>
      <c r="R74" s="445"/>
      <c r="S74" s="499"/>
      <c r="T74" s="451"/>
      <c r="U74" s="500"/>
      <c r="V74" s="587"/>
      <c r="W74" s="587"/>
      <c r="X74" s="587"/>
      <c r="Y74" s="586"/>
      <c r="Z74" s="283"/>
      <c r="AA74" s="283"/>
    </row>
    <row r="75" spans="1:27">
      <c r="A75" s="426"/>
      <c r="B75" s="432"/>
      <c r="C75" s="442"/>
      <c r="D75" s="515"/>
      <c r="E75" s="516"/>
      <c r="F75" s="516"/>
      <c r="G75" s="517"/>
      <c r="H75" s="516"/>
      <c r="I75" s="516"/>
      <c r="J75" s="518"/>
      <c r="K75" s="451"/>
      <c r="L75" s="519"/>
      <c r="M75" s="519"/>
      <c r="N75" s="520"/>
      <c r="O75" s="497"/>
      <c r="P75" s="521"/>
      <c r="Q75" s="521"/>
      <c r="R75" s="445"/>
      <c r="S75" s="499"/>
      <c r="T75" s="451"/>
      <c r="U75" s="500"/>
      <c r="V75" s="587"/>
      <c r="W75" s="587"/>
      <c r="X75" s="587"/>
      <c r="Y75" s="586"/>
      <c r="Z75" s="283"/>
      <c r="AA75" s="283"/>
    </row>
    <row r="76" spans="1:27" hidden="1">
      <c r="A76" s="426"/>
      <c r="B76" s="432"/>
      <c r="C76" s="442"/>
      <c r="D76" s="515"/>
      <c r="E76" s="516"/>
      <c r="F76" s="516"/>
      <c r="G76" s="517"/>
      <c r="H76" s="516"/>
      <c r="I76" s="516"/>
      <c r="J76" s="518"/>
      <c r="K76" s="451"/>
      <c r="L76" s="519"/>
      <c r="M76" s="519"/>
      <c r="N76" s="520"/>
      <c r="O76" s="497"/>
      <c r="P76" s="521"/>
      <c r="Q76" s="521"/>
      <c r="R76" s="445"/>
      <c r="S76" s="499"/>
      <c r="T76" s="451"/>
      <c r="U76" s="500"/>
      <c r="V76" s="587"/>
      <c r="W76" s="587"/>
      <c r="X76" s="587"/>
      <c r="Y76" s="586"/>
      <c r="Z76" s="283"/>
      <c r="AA76" s="283"/>
    </row>
    <row r="77" spans="1:27">
      <c r="A77" s="426"/>
      <c r="B77" s="438"/>
      <c r="C77" s="442"/>
      <c r="D77" s="515"/>
      <c r="E77" s="516"/>
      <c r="F77" s="516"/>
      <c r="G77" s="517"/>
      <c r="H77" s="516"/>
      <c r="I77" s="516"/>
      <c r="J77" s="518"/>
      <c r="K77" s="451"/>
      <c r="L77" s="519"/>
      <c r="M77" s="519"/>
      <c r="N77" s="520"/>
      <c r="O77" s="497"/>
      <c r="P77" s="521"/>
      <c r="Q77" s="521"/>
      <c r="R77" s="445"/>
      <c r="S77" s="499"/>
      <c r="T77" s="451"/>
      <c r="U77" s="500"/>
      <c r="V77" s="587"/>
      <c r="W77" s="587"/>
      <c r="X77" s="587"/>
      <c r="Y77" s="586"/>
      <c r="Z77" s="283"/>
      <c r="AA77" s="283"/>
    </row>
    <row r="78" spans="1:27">
      <c r="A78" s="426"/>
      <c r="B78" s="438"/>
      <c r="C78" s="442"/>
      <c r="D78" s="515"/>
      <c r="E78" s="516"/>
      <c r="F78" s="516"/>
      <c r="G78" s="517"/>
      <c r="H78" s="516"/>
      <c r="I78" s="516"/>
      <c r="J78" s="518"/>
      <c r="K78" s="451"/>
      <c r="L78" s="519"/>
      <c r="M78" s="519"/>
      <c r="N78" s="520"/>
      <c r="O78" s="497"/>
      <c r="P78" s="521"/>
      <c r="Q78" s="521"/>
      <c r="R78" s="445"/>
      <c r="S78" s="499"/>
      <c r="T78" s="451"/>
      <c r="U78" s="500"/>
      <c r="V78" s="587"/>
      <c r="W78" s="587"/>
      <c r="X78" s="587"/>
      <c r="Y78" s="586"/>
      <c r="Z78" s="283"/>
      <c r="AA78" s="283"/>
    </row>
    <row r="79" spans="1:27" hidden="1">
      <c r="A79" s="426"/>
      <c r="B79" s="438"/>
      <c r="C79" s="442"/>
      <c r="D79" s="515"/>
      <c r="E79" s="516"/>
      <c r="F79" s="516"/>
      <c r="G79" s="517"/>
      <c r="H79" s="516"/>
      <c r="I79" s="516"/>
      <c r="J79" s="518"/>
      <c r="K79" s="451"/>
      <c r="L79" s="519"/>
      <c r="M79" s="519"/>
      <c r="N79" s="520"/>
      <c r="O79" s="497"/>
      <c r="P79" s="521"/>
      <c r="Q79" s="521"/>
      <c r="R79" s="445"/>
      <c r="S79" s="499"/>
      <c r="T79" s="451"/>
      <c r="U79" s="500"/>
      <c r="V79" s="587"/>
      <c r="W79" s="587"/>
      <c r="X79" s="587"/>
      <c r="Y79" s="586"/>
      <c r="Z79" s="283"/>
      <c r="AA79" s="283"/>
    </row>
    <row r="80" spans="1:27">
      <c r="A80" s="426"/>
      <c r="B80" s="438"/>
      <c r="C80" s="442"/>
      <c r="D80" s="515"/>
      <c r="E80" s="516"/>
      <c r="F80" s="516"/>
      <c r="G80" s="517"/>
      <c r="H80" s="516"/>
      <c r="I80" s="516"/>
      <c r="J80" s="518"/>
      <c r="K80" s="451"/>
      <c r="L80" s="519"/>
      <c r="M80" s="519"/>
      <c r="N80" s="520"/>
      <c r="O80" s="497"/>
      <c r="P80" s="521"/>
      <c r="Q80" s="521"/>
      <c r="R80" s="445"/>
      <c r="S80" s="499"/>
      <c r="T80" s="451"/>
      <c r="U80" s="500"/>
      <c r="V80" s="587"/>
      <c r="W80" s="587"/>
      <c r="X80" s="587"/>
      <c r="Y80" s="586"/>
      <c r="Z80" s="283"/>
      <c r="AA80" s="283"/>
    </row>
    <row r="81" spans="1:27">
      <c r="A81" s="426"/>
      <c r="B81" s="438"/>
      <c r="C81" s="442"/>
      <c r="D81" s="515"/>
      <c r="E81" s="516"/>
      <c r="F81" s="516"/>
      <c r="G81" s="517"/>
      <c r="H81" s="516"/>
      <c r="I81" s="516"/>
      <c r="J81" s="518"/>
      <c r="K81" s="451"/>
      <c r="L81" s="519"/>
      <c r="M81" s="519"/>
      <c r="N81" s="520"/>
      <c r="O81" s="497"/>
      <c r="P81" s="521"/>
      <c r="Q81" s="521"/>
      <c r="R81" s="445"/>
      <c r="S81" s="499"/>
      <c r="T81" s="451"/>
      <c r="U81" s="500"/>
      <c r="V81" s="587"/>
      <c r="W81" s="587"/>
      <c r="X81" s="587"/>
      <c r="Y81" s="586"/>
      <c r="Z81" s="283"/>
      <c r="AA81" s="283"/>
    </row>
    <row r="82" spans="1:27">
      <c r="A82" s="426"/>
      <c r="B82" s="432"/>
      <c r="C82" s="442"/>
      <c r="D82" s="515"/>
      <c r="E82" s="516"/>
      <c r="F82" s="516"/>
      <c r="G82" s="517"/>
      <c r="H82" s="516"/>
      <c r="I82" s="516"/>
      <c r="J82" s="518"/>
      <c r="K82" s="451"/>
      <c r="L82" s="519"/>
      <c r="M82" s="519"/>
      <c r="N82" s="520"/>
      <c r="O82" s="497"/>
      <c r="P82" s="521"/>
      <c r="Q82" s="521"/>
      <c r="R82" s="445"/>
      <c r="S82" s="499"/>
      <c r="T82" s="451"/>
      <c r="U82" s="500"/>
      <c r="V82" s="587"/>
      <c r="W82" s="587"/>
      <c r="X82" s="587"/>
      <c r="Y82" s="586"/>
      <c r="Z82" s="283"/>
      <c r="AA82" s="283"/>
    </row>
    <row r="83" spans="1:27">
      <c r="A83" s="426"/>
      <c r="B83" s="432"/>
      <c r="C83" s="442"/>
      <c r="D83" s="515"/>
      <c r="E83" s="516"/>
      <c r="F83" s="516"/>
      <c r="G83" s="517"/>
      <c r="H83" s="516"/>
      <c r="I83" s="516"/>
      <c r="J83" s="518"/>
      <c r="K83" s="451"/>
      <c r="L83" s="519"/>
      <c r="M83" s="519"/>
      <c r="N83" s="520"/>
      <c r="O83" s="497"/>
      <c r="P83" s="521"/>
      <c r="Q83" s="521"/>
      <c r="R83" s="445"/>
      <c r="S83" s="499"/>
      <c r="T83" s="451"/>
      <c r="U83" s="500"/>
      <c r="V83" s="587"/>
      <c r="W83" s="587"/>
      <c r="X83" s="587"/>
      <c r="Y83" s="586"/>
      <c r="Z83" s="283"/>
      <c r="AA83" s="283"/>
    </row>
    <row r="84" spans="1:27">
      <c r="A84" s="426"/>
      <c r="B84" s="432"/>
      <c r="C84" s="442"/>
      <c r="D84" s="515"/>
      <c r="E84" s="516"/>
      <c r="F84" s="516"/>
      <c r="G84" s="517"/>
      <c r="H84" s="516"/>
      <c r="I84" s="516"/>
      <c r="J84" s="518"/>
      <c r="K84" s="451"/>
      <c r="L84" s="519"/>
      <c r="M84" s="519"/>
      <c r="N84" s="520"/>
      <c r="O84" s="497"/>
      <c r="P84" s="521"/>
      <c r="Q84" s="521"/>
      <c r="R84" s="445"/>
      <c r="S84" s="499"/>
      <c r="T84" s="451"/>
      <c r="U84" s="500"/>
      <c r="V84" s="587"/>
      <c r="W84" s="587"/>
      <c r="X84" s="587"/>
      <c r="Y84" s="586"/>
      <c r="Z84" s="283"/>
      <c r="AA84" s="283"/>
    </row>
    <row r="85" spans="1:27">
      <c r="A85" s="426"/>
      <c r="B85" s="432"/>
      <c r="C85" s="442"/>
      <c r="D85" s="515"/>
      <c r="E85" s="516"/>
      <c r="F85" s="516"/>
      <c r="G85" s="517"/>
      <c r="H85" s="516"/>
      <c r="I85" s="516"/>
      <c r="J85" s="518"/>
      <c r="K85" s="451"/>
      <c r="L85" s="519"/>
      <c r="M85" s="519"/>
      <c r="N85" s="520"/>
      <c r="O85" s="497"/>
      <c r="P85" s="521"/>
      <c r="Q85" s="521"/>
      <c r="R85" s="445"/>
      <c r="S85" s="499"/>
      <c r="T85" s="451"/>
      <c r="U85" s="500"/>
      <c r="V85" s="587"/>
      <c r="W85" s="587"/>
      <c r="X85" s="587"/>
      <c r="Y85" s="586"/>
      <c r="Z85" s="283"/>
      <c r="AA85" s="283"/>
    </row>
    <row r="86" spans="1:27">
      <c r="A86" s="426"/>
      <c r="B86" s="432"/>
      <c r="C86" s="442"/>
      <c r="D86" s="515"/>
      <c r="E86" s="516"/>
      <c r="F86" s="516"/>
      <c r="G86" s="517"/>
      <c r="H86" s="516"/>
      <c r="I86" s="516"/>
      <c r="J86" s="518"/>
      <c r="K86" s="451"/>
      <c r="L86" s="519"/>
      <c r="M86" s="519"/>
      <c r="N86" s="520"/>
      <c r="O86" s="497"/>
      <c r="P86" s="521"/>
      <c r="Q86" s="521"/>
      <c r="R86" s="445"/>
      <c r="S86" s="499"/>
      <c r="T86" s="451"/>
      <c r="U86" s="500"/>
      <c r="V86" s="587"/>
      <c r="W86" s="587"/>
      <c r="X86" s="587"/>
      <c r="Y86" s="586"/>
      <c r="Z86" s="283"/>
      <c r="AA86" s="283"/>
    </row>
    <row r="87" spans="1:27">
      <c r="A87" s="524"/>
      <c r="B87" s="432"/>
      <c r="C87" s="442"/>
      <c r="D87" s="515"/>
      <c r="E87" s="516"/>
      <c r="F87" s="516"/>
      <c r="G87" s="517"/>
      <c r="H87" s="516"/>
      <c r="I87" s="516"/>
      <c r="J87" s="518"/>
      <c r="K87" s="518"/>
      <c r="L87" s="519"/>
      <c r="M87" s="519"/>
      <c r="N87" s="520"/>
      <c r="O87" s="497"/>
      <c r="P87" s="451"/>
      <c r="Q87" s="521"/>
      <c r="R87" s="445"/>
      <c r="S87" s="525"/>
      <c r="T87" s="526"/>
      <c r="U87" s="527"/>
      <c r="V87" s="587"/>
      <c r="W87" s="587"/>
      <c r="X87" s="587"/>
      <c r="Y87" s="586"/>
      <c r="Z87" s="283"/>
      <c r="AA87" s="283"/>
    </row>
    <row r="88" spans="1:27">
      <c r="A88" s="524"/>
      <c r="B88" s="501"/>
      <c r="C88" s="528"/>
      <c r="D88" s="475"/>
      <c r="E88" s="529"/>
      <c r="F88" s="529"/>
      <c r="G88" s="529"/>
      <c r="H88" s="475"/>
      <c r="I88" s="475"/>
      <c r="J88" s="530"/>
      <c r="K88" s="475"/>
      <c r="L88" s="519"/>
      <c r="M88" s="519"/>
      <c r="N88" s="521"/>
      <c r="O88" s="531"/>
      <c r="P88" s="451"/>
      <c r="Q88" s="451"/>
      <c r="R88" s="445"/>
      <c r="S88" s="532"/>
      <c r="T88" s="526"/>
      <c r="U88" s="283"/>
      <c r="V88" s="587"/>
      <c r="W88" s="587"/>
      <c r="X88" s="587"/>
      <c r="Y88" s="586"/>
      <c r="Z88" s="283"/>
      <c r="AA88" s="283"/>
    </row>
    <row r="89" spans="1:27">
      <c r="A89" s="524"/>
      <c r="B89" s="524"/>
      <c r="C89" s="533"/>
      <c r="D89" s="475"/>
      <c r="E89" s="475"/>
      <c r="F89" s="534"/>
      <c r="G89" s="587"/>
      <c r="H89" s="475"/>
      <c r="I89" s="475"/>
      <c r="J89" s="475"/>
      <c r="K89" s="475"/>
      <c r="L89" s="519"/>
      <c r="M89" s="519"/>
      <c r="N89" s="521"/>
      <c r="O89" s="532"/>
      <c r="P89" s="532"/>
      <c r="Q89" s="532"/>
      <c r="R89" s="444"/>
      <c r="S89" s="524"/>
      <c r="T89" s="535"/>
      <c r="U89" s="587"/>
      <c r="V89" s="587"/>
      <c r="W89" s="587"/>
      <c r="X89" s="587"/>
      <c r="Y89" s="586"/>
      <c r="Z89" s="283"/>
      <c r="AA89" s="283"/>
    </row>
    <row r="90" spans="1:27">
      <c r="A90" s="587"/>
      <c r="B90" s="443"/>
      <c r="C90" s="283"/>
      <c r="D90" s="536"/>
      <c r="E90" s="536"/>
      <c r="F90" s="536"/>
      <c r="G90" s="536"/>
      <c r="H90" s="536"/>
      <c r="I90" s="536"/>
      <c r="J90" s="536"/>
      <c r="K90" s="536"/>
      <c r="L90" s="537"/>
      <c r="M90" s="537"/>
      <c r="N90" s="451"/>
      <c r="O90" s="536"/>
      <c r="P90" s="536"/>
      <c r="Q90" s="536"/>
      <c r="R90" s="538"/>
      <c r="S90" s="536"/>
      <c r="T90" s="538"/>
      <c r="U90" s="539"/>
      <c r="V90" s="587"/>
      <c r="W90" s="587"/>
      <c r="X90" s="587"/>
      <c r="Y90" s="586"/>
      <c r="Z90" s="283"/>
      <c r="AA90" s="283"/>
    </row>
    <row r="91" spans="1:27">
      <c r="A91" s="587"/>
      <c r="B91" s="443"/>
      <c r="C91" s="283"/>
      <c r="D91" s="540"/>
      <c r="E91" s="540"/>
      <c r="F91" s="540"/>
      <c r="G91" s="540"/>
      <c r="H91" s="540"/>
      <c r="I91" s="540"/>
      <c r="J91" s="540"/>
      <c r="K91" s="540"/>
      <c r="L91" s="541"/>
      <c r="M91" s="541"/>
      <c r="N91" s="283"/>
      <c r="O91" s="540"/>
      <c r="P91" s="540"/>
      <c r="Q91" s="540"/>
      <c r="R91" s="478"/>
      <c r="S91" s="540"/>
      <c r="T91" s="540"/>
      <c r="U91" s="539"/>
      <c r="V91" s="587"/>
      <c r="W91" s="587"/>
      <c r="X91" s="587"/>
      <c r="Y91" s="586"/>
      <c r="Z91" s="283"/>
      <c r="AA91" s="283"/>
    </row>
    <row r="92" spans="1:27">
      <c r="A92" s="587"/>
      <c r="B92" s="443"/>
      <c r="C92" s="542"/>
      <c r="D92" s="543"/>
      <c r="E92" s="543"/>
      <c r="F92" s="543"/>
      <c r="G92" s="543"/>
      <c r="H92" s="543"/>
      <c r="I92" s="543"/>
      <c r="J92" s="543"/>
      <c r="K92" s="543"/>
      <c r="L92" s="544"/>
      <c r="M92" s="544"/>
      <c r="N92" s="283"/>
      <c r="O92" s="542"/>
      <c r="P92" s="543"/>
      <c r="Q92" s="543"/>
      <c r="R92" s="542"/>
      <c r="S92" s="478"/>
      <c r="T92" s="538"/>
      <c r="U92" s="539"/>
      <c r="V92" s="587"/>
      <c r="W92" s="587"/>
      <c r="X92" s="587"/>
      <c r="Y92" s="586"/>
      <c r="Z92" s="283"/>
      <c r="AA92" s="283"/>
    </row>
    <row r="93" spans="1:27">
      <c r="A93" s="587"/>
      <c r="B93" s="443"/>
      <c r="C93" s="283"/>
      <c r="D93" s="536"/>
      <c r="E93" s="536"/>
      <c r="F93" s="536"/>
      <c r="G93" s="536"/>
      <c r="H93" s="536"/>
      <c r="I93" s="536"/>
      <c r="J93" s="536"/>
      <c r="K93" s="536"/>
      <c r="L93" s="537"/>
      <c r="M93" s="537"/>
      <c r="N93" s="283"/>
      <c r="O93" s="469"/>
      <c r="P93" s="536"/>
      <c r="Q93" s="536"/>
      <c r="R93" s="538"/>
      <c r="S93" s="536"/>
      <c r="T93" s="538"/>
      <c r="U93" s="539"/>
      <c r="V93" s="587"/>
      <c r="W93" s="587"/>
      <c r="X93" s="587"/>
      <c r="Y93" s="586"/>
      <c r="Z93" s="283"/>
      <c r="AA93" s="283"/>
    </row>
    <row r="94" spans="1:27">
      <c r="A94" s="587"/>
      <c r="B94" s="443"/>
      <c r="C94" s="283"/>
      <c r="D94" s="545"/>
      <c r="E94" s="545"/>
      <c r="F94" s="545"/>
      <c r="G94" s="545"/>
      <c r="H94" s="545"/>
      <c r="I94" s="545"/>
      <c r="J94" s="545"/>
      <c r="K94" s="545"/>
      <c r="L94" s="546"/>
      <c r="M94" s="546"/>
      <c r="N94" s="283"/>
      <c r="O94" s="478"/>
      <c r="P94" s="545"/>
      <c r="Q94" s="545"/>
      <c r="R94" s="478"/>
      <c r="S94" s="545"/>
      <c r="T94" s="540"/>
      <c r="U94" s="547"/>
      <c r="V94" s="587"/>
      <c r="W94" s="587"/>
      <c r="X94" s="587"/>
      <c r="Y94" s="586"/>
      <c r="Z94" s="283"/>
      <c r="AA94" s="283"/>
    </row>
    <row r="95" spans="1:27">
      <c r="A95" s="441"/>
      <c r="B95" s="438"/>
      <c r="C95" s="442"/>
      <c r="D95" s="548"/>
      <c r="E95" s="548"/>
      <c r="F95" s="548"/>
      <c r="G95" s="548"/>
      <c r="H95" s="548"/>
      <c r="I95" s="548"/>
      <c r="J95" s="548"/>
      <c r="K95" s="548"/>
      <c r="L95" s="549"/>
      <c r="M95" s="549"/>
      <c r="N95" s="442"/>
      <c r="O95" s="550"/>
      <c r="P95" s="551"/>
      <c r="Q95" s="551"/>
      <c r="R95" s="552"/>
      <c r="S95" s="553"/>
      <c r="T95" s="587"/>
      <c r="U95" s="283"/>
      <c r="V95" s="587"/>
      <c r="W95" s="587"/>
      <c r="X95" s="587"/>
      <c r="Y95" s="586"/>
      <c r="Z95" s="283"/>
      <c r="AA95" s="283"/>
    </row>
    <row r="96" spans="1:27">
      <c r="A96" s="441"/>
      <c r="B96" s="438"/>
      <c r="C96" s="442"/>
      <c r="D96" s="554"/>
      <c r="E96" s="554"/>
      <c r="F96" s="554"/>
      <c r="G96" s="554"/>
      <c r="H96" s="554"/>
      <c r="I96" s="554"/>
      <c r="J96" s="554"/>
      <c r="K96" s="554"/>
      <c r="L96" s="555"/>
      <c r="M96" s="555"/>
      <c r="N96" s="442"/>
      <c r="O96" s="552"/>
      <c r="P96" s="551"/>
      <c r="Q96" s="551"/>
      <c r="R96" s="552"/>
      <c r="S96" s="553"/>
      <c r="T96" s="587"/>
      <c r="U96" s="587"/>
      <c r="V96" s="587"/>
      <c r="W96" s="587"/>
      <c r="X96" s="587"/>
      <c r="Y96" s="586"/>
      <c r="Z96" s="283"/>
      <c r="AA96" s="283"/>
    </row>
    <row r="97" spans="1:27">
      <c r="A97" s="441"/>
      <c r="B97" s="432"/>
      <c r="C97" s="442"/>
      <c r="D97" s="548"/>
      <c r="E97" s="548"/>
      <c r="F97" s="548"/>
      <c r="G97" s="548"/>
      <c r="H97" s="548"/>
      <c r="I97" s="548"/>
      <c r="J97" s="548"/>
      <c r="K97" s="548"/>
      <c r="L97" s="549"/>
      <c r="M97" s="549"/>
      <c r="N97" s="442"/>
      <c r="O97" s="556"/>
      <c r="P97" s="557"/>
      <c r="Q97" s="557"/>
      <c r="R97" s="556"/>
      <c r="S97" s="553"/>
      <c r="T97" s="558"/>
      <c r="U97" s="539"/>
      <c r="V97" s="587"/>
      <c r="W97" s="587"/>
      <c r="X97" s="587"/>
      <c r="Y97" s="586"/>
      <c r="Z97" s="283"/>
      <c r="AA97" s="283"/>
    </row>
    <row r="98" spans="1:27">
      <c r="A98" s="441"/>
      <c r="B98" s="432"/>
      <c r="C98" s="442"/>
      <c r="D98" s="548"/>
      <c r="E98" s="548"/>
      <c r="F98" s="548"/>
      <c r="G98" s="548"/>
      <c r="H98" s="548"/>
      <c r="I98" s="548"/>
      <c r="J98" s="548"/>
      <c r="K98" s="548"/>
      <c r="L98" s="549"/>
      <c r="M98" s="549"/>
      <c r="N98" s="442"/>
      <c r="O98" s="559"/>
      <c r="P98" s="559"/>
      <c r="Q98" s="559"/>
      <c r="R98" s="559"/>
      <c r="S98" s="553"/>
      <c r="T98" s="540"/>
      <c r="U98" s="539"/>
      <c r="V98" s="587"/>
      <c r="W98" s="587"/>
      <c r="X98" s="587"/>
      <c r="Y98" s="586"/>
      <c r="Z98" s="283"/>
      <c r="AA98" s="283"/>
    </row>
    <row r="99" spans="1:27">
      <c r="A99" s="441"/>
      <c r="B99" s="432"/>
      <c r="C99" s="442"/>
      <c r="D99" s="548"/>
      <c r="E99" s="548"/>
      <c r="F99" s="548"/>
      <c r="G99" s="548"/>
      <c r="H99" s="548"/>
      <c r="I99" s="548"/>
      <c r="J99" s="548"/>
      <c r="K99" s="548"/>
      <c r="L99" s="549"/>
      <c r="M99" s="549"/>
      <c r="N99" s="442"/>
      <c r="O99" s="559"/>
      <c r="P99" s="559"/>
      <c r="Q99" s="559"/>
      <c r="R99" s="559"/>
      <c r="S99" s="553"/>
      <c r="T99" s="540"/>
      <c r="U99" s="539"/>
      <c r="V99" s="587"/>
      <c r="W99" s="587"/>
      <c r="X99" s="587"/>
      <c r="Y99" s="586"/>
      <c r="Z99" s="283"/>
      <c r="AA99" s="283"/>
    </row>
    <row r="100" spans="1:27">
      <c r="A100" s="441"/>
      <c r="B100" s="432"/>
      <c r="C100" s="442"/>
      <c r="D100" s="554"/>
      <c r="E100" s="554"/>
      <c r="F100" s="554"/>
      <c r="G100" s="554"/>
      <c r="H100" s="554"/>
      <c r="I100" s="554"/>
      <c r="J100" s="554"/>
      <c r="K100" s="554"/>
      <c r="L100" s="555"/>
      <c r="M100" s="555"/>
      <c r="N100" s="442"/>
      <c r="O100" s="559"/>
      <c r="P100" s="560"/>
      <c r="Q100" s="560"/>
      <c r="R100" s="559"/>
      <c r="S100" s="553"/>
      <c r="T100" s="478"/>
      <c r="U100" s="539"/>
      <c r="V100" s="587"/>
      <c r="W100" s="587"/>
      <c r="X100" s="587"/>
      <c r="Y100" s="586"/>
      <c r="Z100" s="283"/>
      <c r="AA100" s="283"/>
    </row>
    <row r="101" spans="1:27">
      <c r="A101" s="441"/>
      <c r="B101" s="432"/>
      <c r="C101" s="442"/>
      <c r="D101" s="561"/>
      <c r="E101" s="561"/>
      <c r="F101" s="561"/>
      <c r="G101" s="561"/>
      <c r="H101" s="561"/>
      <c r="I101" s="561"/>
      <c r="J101" s="561"/>
      <c r="K101" s="561"/>
      <c r="L101" s="562"/>
      <c r="M101" s="562"/>
      <c r="N101" s="442"/>
      <c r="O101" s="559"/>
      <c r="P101" s="557"/>
      <c r="Q101" s="557"/>
      <c r="R101" s="559"/>
      <c r="S101" s="553"/>
      <c r="T101" s="536"/>
      <c r="U101" s="539"/>
      <c r="V101" s="587"/>
      <c r="W101" s="587"/>
      <c r="X101" s="587"/>
      <c r="Y101" s="586"/>
      <c r="Z101" s="283"/>
      <c r="AA101" s="283"/>
    </row>
    <row r="102" spans="1:27">
      <c r="A102" s="435"/>
      <c r="B102" s="443"/>
      <c r="C102" s="442"/>
      <c r="D102" s="554"/>
      <c r="E102" s="554"/>
      <c r="F102" s="554"/>
      <c r="G102" s="554"/>
      <c r="H102" s="554"/>
      <c r="I102" s="554"/>
      <c r="J102" s="554"/>
      <c r="K102" s="554"/>
      <c r="L102" s="555"/>
      <c r="M102" s="555"/>
      <c r="N102" s="435"/>
      <c r="O102" s="559"/>
      <c r="P102" s="557"/>
      <c r="Q102" s="557"/>
      <c r="R102" s="559"/>
      <c r="S102" s="553"/>
      <c r="T102" s="545"/>
      <c r="U102" s="547"/>
      <c r="V102" s="587"/>
      <c r="W102" s="587"/>
      <c r="X102" s="587"/>
      <c r="Y102" s="586"/>
      <c r="Z102" s="283"/>
      <c r="AA102" s="283"/>
    </row>
    <row r="103" spans="1:27">
      <c r="A103" s="444"/>
      <c r="B103" s="436"/>
      <c r="C103" s="445"/>
      <c r="D103" s="563"/>
      <c r="E103" s="563"/>
      <c r="F103" s="563"/>
      <c r="G103" s="563"/>
      <c r="H103" s="563"/>
      <c r="I103" s="563"/>
      <c r="J103" s="563"/>
      <c r="K103" s="563"/>
      <c r="L103" s="564"/>
      <c r="M103" s="564"/>
      <c r="N103" s="436"/>
      <c r="O103" s="565"/>
      <c r="P103" s="565"/>
      <c r="Q103" s="565"/>
      <c r="R103" s="565"/>
      <c r="S103" s="566"/>
      <c r="T103" s="587"/>
      <c r="U103" s="587"/>
      <c r="V103" s="587"/>
      <c r="W103" s="587"/>
      <c r="X103" s="587"/>
      <c r="Y103" s="586"/>
      <c r="Z103" s="283"/>
      <c r="AA103" s="283"/>
    </row>
    <row r="104" spans="1:27">
      <c r="A104" s="446"/>
      <c r="B104" s="284"/>
      <c r="C104" s="447"/>
      <c r="D104" s="604"/>
      <c r="E104" s="604"/>
      <c r="F104" s="604"/>
      <c r="G104" s="604"/>
      <c r="H104" s="604"/>
      <c r="I104" s="604"/>
      <c r="J104" s="604"/>
      <c r="K104" s="604"/>
      <c r="L104" s="604"/>
      <c r="M104" s="604"/>
      <c r="N104" s="604"/>
      <c r="O104" s="604"/>
      <c r="P104" s="543"/>
      <c r="Q104" s="543"/>
      <c r="R104" s="284"/>
      <c r="S104" s="543"/>
      <c r="T104" s="536"/>
      <c r="U104" s="539"/>
      <c r="V104" s="587"/>
      <c r="W104" s="587"/>
      <c r="X104" s="587"/>
      <c r="Y104" s="586"/>
      <c r="Z104" s="283"/>
      <c r="AA104" s="283"/>
    </row>
    <row r="105" spans="1:27">
      <c r="A105" s="446"/>
      <c r="B105" s="448"/>
      <c r="C105" s="284"/>
      <c r="D105" s="604"/>
      <c r="E105" s="604"/>
      <c r="F105" s="604"/>
      <c r="G105" s="604"/>
      <c r="H105" s="604"/>
      <c r="I105" s="604"/>
      <c r="J105" s="604"/>
      <c r="K105" s="604"/>
      <c r="L105" s="604"/>
      <c r="M105" s="604"/>
      <c r="N105" s="604"/>
      <c r="O105" s="604"/>
      <c r="P105" s="536"/>
      <c r="Q105" s="536"/>
      <c r="R105" s="284"/>
      <c r="S105" s="536"/>
      <c r="T105" s="545"/>
      <c r="U105" s="547"/>
      <c r="V105" s="587"/>
      <c r="W105" s="587"/>
      <c r="X105" s="587"/>
      <c r="Y105" s="586"/>
      <c r="Z105" s="283"/>
      <c r="AA105" s="283"/>
    </row>
    <row r="106" spans="1:27">
      <c r="A106" s="587"/>
      <c r="B106" s="449"/>
      <c r="C106" s="450"/>
      <c r="D106" s="604"/>
      <c r="E106" s="604"/>
      <c r="F106" s="604"/>
      <c r="G106" s="604"/>
      <c r="H106" s="604"/>
      <c r="I106" s="604"/>
      <c r="J106" s="604"/>
      <c r="K106" s="604"/>
      <c r="L106" s="604"/>
      <c r="M106" s="604"/>
      <c r="N106" s="604"/>
      <c r="O106" s="604"/>
      <c r="P106" s="545"/>
      <c r="Q106" s="545"/>
      <c r="R106" s="587"/>
      <c r="S106" s="545"/>
      <c r="T106" s="587"/>
      <c r="U106" s="587"/>
      <c r="V106" s="587"/>
      <c r="W106" s="587"/>
      <c r="X106" s="587"/>
      <c r="Y106" s="586"/>
      <c r="Z106" s="283"/>
      <c r="AA106" s="283"/>
    </row>
    <row r="107" spans="1:27">
      <c r="A107" s="446"/>
      <c r="B107" s="431"/>
      <c r="C107" s="451"/>
      <c r="D107" s="284"/>
      <c r="E107" s="284"/>
      <c r="F107" s="284"/>
      <c r="G107" s="284"/>
      <c r="H107" s="284"/>
      <c r="I107" s="284"/>
      <c r="J107" s="284"/>
      <c r="K107" s="284"/>
      <c r="L107" s="465"/>
      <c r="M107" s="465"/>
      <c r="N107" s="605"/>
      <c r="O107" s="605"/>
      <c r="P107" s="283"/>
      <c r="Q107" s="283"/>
      <c r="R107" s="283"/>
      <c r="S107" s="587"/>
      <c r="T107" s="587"/>
      <c r="U107" s="587"/>
      <c r="V107" s="587"/>
      <c r="W107" s="587"/>
      <c r="X107" s="587"/>
      <c r="Y107" s="586"/>
      <c r="Z107" s="283"/>
      <c r="AA107" s="283"/>
    </row>
    <row r="108" spans="1:27">
      <c r="A108" s="587"/>
      <c r="B108" s="432"/>
      <c r="C108" s="451"/>
      <c r="D108" s="284"/>
      <c r="E108" s="284"/>
      <c r="F108" s="284"/>
      <c r="G108" s="284"/>
      <c r="H108" s="284"/>
      <c r="I108" s="284"/>
      <c r="J108" s="284"/>
      <c r="K108" s="284"/>
      <c r="L108" s="465"/>
      <c r="M108" s="465"/>
      <c r="N108" s="283"/>
      <c r="O108" s="283"/>
      <c r="P108" s="283"/>
      <c r="Q108" s="283"/>
      <c r="R108" s="283"/>
      <c r="S108" s="587"/>
      <c r="T108" s="587"/>
      <c r="U108" s="587"/>
      <c r="V108" s="587"/>
      <c r="W108" s="587"/>
      <c r="X108" s="587"/>
      <c r="Y108" s="586"/>
      <c r="Z108" s="283"/>
      <c r="AA108" s="283"/>
    </row>
    <row r="109" spans="1:27">
      <c r="A109" s="587"/>
      <c r="B109" s="432"/>
      <c r="C109" s="451"/>
      <c r="D109" s="284"/>
      <c r="E109" s="284"/>
      <c r="F109" s="284"/>
      <c r="G109" s="284"/>
      <c r="H109" s="284"/>
      <c r="I109" s="284"/>
      <c r="J109" s="284"/>
      <c r="K109" s="284"/>
      <c r="L109" s="465"/>
      <c r="M109" s="465"/>
      <c r="N109" s="587"/>
      <c r="O109" s="283"/>
      <c r="P109" s="283"/>
      <c r="Q109" s="283"/>
      <c r="R109" s="283"/>
      <c r="S109" s="587"/>
      <c r="T109" s="587"/>
      <c r="U109" s="587"/>
      <c r="V109" s="587"/>
      <c r="W109" s="587"/>
      <c r="X109" s="587"/>
      <c r="Y109" s="586"/>
      <c r="Z109" s="283"/>
      <c r="AA109" s="283"/>
    </row>
    <row r="110" spans="1:27">
      <c r="A110" s="452"/>
      <c r="B110" s="432"/>
      <c r="C110" s="451"/>
      <c r="D110" s="284"/>
      <c r="E110" s="284"/>
      <c r="F110" s="284"/>
      <c r="G110" s="284"/>
      <c r="H110" s="284"/>
      <c r="I110" s="284"/>
      <c r="J110" s="284"/>
      <c r="K110" s="284"/>
      <c r="L110" s="465"/>
      <c r="M110" s="465"/>
      <c r="N110" s="284"/>
      <c r="O110" s="587"/>
      <c r="P110" s="452"/>
      <c r="Q110" s="452"/>
      <c r="R110" s="452"/>
      <c r="S110" s="567"/>
      <c r="T110" s="587"/>
      <c r="U110" s="587"/>
      <c r="V110" s="587"/>
      <c r="W110" s="587"/>
      <c r="X110" s="587"/>
      <c r="Y110" s="586"/>
      <c r="Z110" s="283"/>
      <c r="AA110" s="283"/>
    </row>
    <row r="111" spans="1:27">
      <c r="A111" s="587"/>
      <c r="B111" s="432"/>
      <c r="C111" s="451"/>
      <c r="D111" s="452"/>
      <c r="E111" s="452"/>
      <c r="F111" s="452"/>
      <c r="G111" s="452"/>
      <c r="H111" s="452"/>
      <c r="I111" s="452"/>
      <c r="J111" s="452"/>
      <c r="K111" s="452"/>
      <c r="L111" s="568"/>
      <c r="M111" s="568"/>
      <c r="N111" s="452"/>
      <c r="O111" s="452"/>
      <c r="P111" s="569"/>
      <c r="Q111" s="569"/>
      <c r="R111" s="569"/>
      <c r="S111" s="570"/>
      <c r="T111" s="587"/>
      <c r="U111" s="587"/>
      <c r="V111" s="587"/>
      <c r="W111" s="587"/>
      <c r="X111" s="587"/>
      <c r="Y111" s="586"/>
      <c r="Z111" s="283"/>
      <c r="AA111" s="283"/>
    </row>
    <row r="112" spans="1:27">
      <c r="A112" s="436"/>
      <c r="B112" s="432"/>
      <c r="C112" s="451"/>
      <c r="D112" s="571"/>
      <c r="E112" s="571"/>
      <c r="F112" s="571"/>
      <c r="G112" s="571"/>
      <c r="H112" s="571"/>
      <c r="I112" s="571"/>
      <c r="J112" s="571"/>
      <c r="K112" s="571"/>
      <c r="L112" s="572"/>
      <c r="M112" s="572"/>
      <c r="N112" s="569"/>
      <c r="O112" s="569"/>
      <c r="P112" s="436"/>
      <c r="Q112" s="436"/>
      <c r="R112" s="436"/>
      <c r="S112" s="436"/>
      <c r="T112" s="587"/>
      <c r="U112" s="587"/>
      <c r="V112" s="587"/>
      <c r="W112" s="587"/>
      <c r="X112" s="587"/>
      <c r="Y112" s="586"/>
      <c r="Z112" s="283"/>
      <c r="AA112" s="283"/>
    </row>
    <row r="113" spans="1:27">
      <c r="A113" s="452"/>
      <c r="B113" s="432"/>
      <c r="C113" s="451"/>
      <c r="D113" s="436"/>
      <c r="E113" s="436"/>
      <c r="F113" s="436"/>
      <c r="G113" s="436"/>
      <c r="H113" s="436"/>
      <c r="I113" s="436"/>
      <c r="J113" s="436"/>
      <c r="K113" s="436"/>
      <c r="L113" s="573"/>
      <c r="M113" s="573"/>
      <c r="N113" s="436"/>
      <c r="O113" s="436"/>
      <c r="P113" s="452"/>
      <c r="Q113" s="452"/>
      <c r="R113" s="452"/>
      <c r="S113" s="567"/>
      <c r="T113" s="587"/>
      <c r="U113" s="587"/>
      <c r="V113" s="587"/>
      <c r="W113" s="587"/>
      <c r="X113" s="587"/>
      <c r="Y113" s="586"/>
      <c r="Z113" s="283"/>
      <c r="AA113" s="283"/>
    </row>
    <row r="114" spans="1:27">
      <c r="A114" s="453"/>
      <c r="B114" s="432"/>
      <c r="C114" s="451"/>
      <c r="D114" s="452"/>
      <c r="E114" s="452"/>
      <c r="F114" s="452"/>
      <c r="G114" s="452"/>
      <c r="H114" s="452"/>
      <c r="I114" s="452"/>
      <c r="J114" s="452"/>
      <c r="K114" s="452"/>
      <c r="L114" s="568"/>
      <c r="M114" s="568"/>
      <c r="N114" s="452"/>
      <c r="O114" s="452"/>
      <c r="P114" s="569"/>
      <c r="Q114" s="569"/>
      <c r="R114" s="569"/>
      <c r="S114" s="570"/>
      <c r="T114" s="587"/>
      <c r="U114" s="587"/>
      <c r="V114" s="587"/>
      <c r="W114" s="587"/>
      <c r="X114" s="587"/>
      <c r="Y114" s="586"/>
      <c r="Z114" s="283"/>
      <c r="AA114" s="283"/>
    </row>
    <row r="115" spans="1:27">
      <c r="A115" s="436"/>
      <c r="B115" s="432"/>
      <c r="C115" s="451"/>
      <c r="D115" s="571"/>
      <c r="E115" s="571"/>
      <c r="F115" s="571"/>
      <c r="G115" s="571"/>
      <c r="H115" s="571"/>
      <c r="I115" s="571"/>
      <c r="J115" s="571"/>
      <c r="K115" s="571"/>
      <c r="L115" s="572"/>
      <c r="M115" s="572"/>
      <c r="N115" s="569"/>
      <c r="O115" s="569"/>
      <c r="P115" s="566"/>
      <c r="Q115" s="566"/>
      <c r="R115" s="436"/>
      <c r="S115" s="436"/>
      <c r="T115" s="587"/>
      <c r="U115" s="587"/>
      <c r="V115" s="587"/>
      <c r="W115" s="587"/>
      <c r="X115" s="587"/>
      <c r="Y115" s="586"/>
      <c r="Z115" s="283"/>
      <c r="AA115" s="283"/>
    </row>
    <row r="116" spans="1:27">
      <c r="A116" s="437"/>
      <c r="B116" s="432"/>
      <c r="C116" s="451"/>
      <c r="D116" s="436"/>
      <c r="E116" s="436"/>
      <c r="F116" s="436"/>
      <c r="G116" s="436"/>
      <c r="H116" s="436"/>
      <c r="I116" s="436"/>
      <c r="J116" s="436"/>
      <c r="K116" s="436"/>
      <c r="L116" s="573"/>
      <c r="M116" s="573"/>
      <c r="N116" s="566"/>
      <c r="O116" s="436"/>
      <c r="P116" s="574"/>
      <c r="Q116" s="574"/>
      <c r="R116" s="575"/>
      <c r="S116" s="576"/>
      <c r="T116" s="587"/>
      <c r="U116" s="587"/>
      <c r="V116" s="587"/>
      <c r="W116" s="587"/>
      <c r="X116" s="587"/>
      <c r="Y116" s="586"/>
      <c r="Z116" s="283"/>
      <c r="AA116" s="283"/>
    </row>
    <row r="117" spans="1:27">
      <c r="A117" s="454"/>
      <c r="B117" s="438"/>
      <c r="C117" s="451"/>
      <c r="D117" s="437"/>
      <c r="E117" s="437"/>
      <c r="F117" s="437"/>
      <c r="G117" s="437"/>
      <c r="H117" s="437"/>
      <c r="I117" s="437"/>
      <c r="J117" s="437"/>
      <c r="K117" s="437"/>
      <c r="L117" s="511"/>
      <c r="M117" s="511"/>
      <c r="N117" s="577"/>
      <c r="O117" s="578"/>
      <c r="P117" s="498"/>
      <c r="Q117" s="498"/>
      <c r="R117" s="445"/>
      <c r="S117" s="500"/>
      <c r="T117" s="587"/>
      <c r="U117" s="587"/>
      <c r="V117" s="587"/>
      <c r="W117" s="587"/>
      <c r="X117" s="587"/>
      <c r="Y117" s="586"/>
      <c r="Z117" s="283"/>
      <c r="AA117" s="283"/>
    </row>
    <row r="118" spans="1:27">
      <c r="A118" s="455"/>
      <c r="B118" s="438"/>
      <c r="C118" s="451"/>
      <c r="D118" s="454"/>
      <c r="E118" s="454"/>
      <c r="F118" s="454"/>
      <c r="G118" s="454"/>
      <c r="H118" s="454"/>
      <c r="I118" s="454"/>
      <c r="J118" s="454"/>
      <c r="K118" s="454"/>
      <c r="L118" s="495"/>
      <c r="M118" s="495"/>
      <c r="N118" s="579"/>
      <c r="O118" s="49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6"/>
      <c r="Z118" s="283"/>
      <c r="AA118" s="283"/>
    </row>
    <row r="119" spans="1:27">
      <c r="A119" s="455"/>
      <c r="B119" s="438"/>
      <c r="C119" s="451"/>
      <c r="D119" s="586"/>
      <c r="E119" s="586"/>
      <c r="F119" s="586"/>
      <c r="G119" s="586"/>
      <c r="H119" s="586"/>
      <c r="I119" s="586"/>
      <c r="J119" s="586"/>
      <c r="K119" s="586"/>
      <c r="L119" s="580"/>
      <c r="M119" s="580"/>
      <c r="N119" s="586"/>
      <c r="O119" s="586"/>
      <c r="P119" s="587"/>
      <c r="Q119" s="587"/>
      <c r="R119" s="587"/>
      <c r="S119" s="587"/>
      <c r="T119" s="587"/>
      <c r="U119" s="587"/>
      <c r="V119" s="587"/>
      <c r="W119" s="587"/>
      <c r="X119" s="587"/>
      <c r="Y119" s="586"/>
      <c r="Z119" s="283"/>
      <c r="AA119" s="283"/>
    </row>
    <row r="120" spans="1:27">
      <c r="A120" s="455"/>
      <c r="B120" s="432"/>
      <c r="C120" s="451"/>
      <c r="D120" s="584"/>
      <c r="E120" s="584"/>
      <c r="F120" s="584"/>
      <c r="G120" s="584"/>
      <c r="H120" s="584"/>
      <c r="I120" s="584"/>
      <c r="J120" s="584"/>
      <c r="K120" s="584"/>
      <c r="L120" s="307"/>
      <c r="M120" s="307"/>
      <c r="N120" s="584"/>
      <c r="O120" s="584"/>
    </row>
    <row r="121" spans="1:27">
      <c r="A121" s="455"/>
      <c r="B121" s="432"/>
      <c r="C121" s="451"/>
      <c r="D121" s="584"/>
      <c r="E121" s="584"/>
      <c r="F121" s="584"/>
      <c r="G121" s="584"/>
      <c r="H121" s="584"/>
      <c r="I121" s="584"/>
      <c r="J121" s="584"/>
      <c r="K121" s="584"/>
      <c r="L121" s="307"/>
      <c r="M121" s="307"/>
      <c r="N121" s="584"/>
      <c r="O121" s="584"/>
    </row>
    <row r="122" spans="1:27">
      <c r="A122" s="455"/>
      <c r="B122" s="432"/>
      <c r="C122" s="451"/>
      <c r="D122" s="584"/>
      <c r="E122" s="584"/>
      <c r="F122" s="584"/>
      <c r="G122" s="584"/>
      <c r="H122" s="584"/>
      <c r="I122" s="584"/>
      <c r="J122" s="584"/>
      <c r="K122" s="584"/>
      <c r="L122" s="307"/>
      <c r="M122" s="307"/>
      <c r="N122" s="584"/>
      <c r="O122" s="584"/>
    </row>
    <row r="123" spans="1:27">
      <c r="A123" s="455"/>
      <c r="B123" s="456"/>
      <c r="C123" s="586"/>
      <c r="D123" s="584"/>
      <c r="E123" s="584"/>
      <c r="F123" s="584"/>
      <c r="G123" s="584"/>
      <c r="H123" s="584"/>
      <c r="I123" s="584"/>
      <c r="J123" s="584"/>
      <c r="K123" s="584"/>
      <c r="L123" s="307"/>
      <c r="M123" s="307"/>
      <c r="N123" s="584"/>
      <c r="O123" s="584"/>
    </row>
    <row r="124" spans="1:27">
      <c r="A124" s="455"/>
      <c r="B124" s="456"/>
      <c r="C124" s="586"/>
      <c r="D124" s="584"/>
      <c r="E124" s="584"/>
      <c r="F124" s="584"/>
      <c r="G124" s="584"/>
      <c r="H124" s="584"/>
      <c r="I124" s="584"/>
      <c r="J124" s="584"/>
      <c r="K124" s="584"/>
      <c r="L124" s="307"/>
      <c r="M124" s="307"/>
      <c r="N124" s="584"/>
      <c r="O124" s="584"/>
    </row>
    <row r="125" spans="1:27">
      <c r="A125" s="455"/>
      <c r="B125" s="586"/>
      <c r="C125" s="586"/>
      <c r="D125" s="584"/>
      <c r="E125" s="584"/>
      <c r="F125" s="584"/>
      <c r="G125" s="584"/>
      <c r="H125" s="584"/>
      <c r="I125" s="584"/>
      <c r="J125" s="584"/>
      <c r="K125" s="584"/>
      <c r="L125" s="307"/>
      <c r="M125" s="307"/>
      <c r="N125" s="584"/>
      <c r="O125" s="584"/>
    </row>
    <row r="126" spans="1:27">
      <c r="A126" s="455"/>
      <c r="B126" s="586"/>
      <c r="C126" s="586"/>
      <c r="D126" s="584"/>
      <c r="E126" s="584"/>
      <c r="F126" s="584"/>
      <c r="G126" s="584"/>
      <c r="H126" s="584"/>
      <c r="I126" s="584"/>
      <c r="J126" s="584"/>
      <c r="K126" s="584"/>
      <c r="L126" s="307"/>
      <c r="M126" s="307"/>
      <c r="N126" s="584"/>
      <c r="O126" s="584"/>
    </row>
    <row r="127" spans="1:27">
      <c r="A127" s="455"/>
      <c r="B127" s="586"/>
      <c r="C127" s="586"/>
      <c r="D127" s="584"/>
      <c r="E127" s="584"/>
      <c r="F127" s="584"/>
      <c r="G127" s="584"/>
      <c r="H127" s="584"/>
      <c r="I127" s="584"/>
      <c r="J127" s="584"/>
      <c r="K127" s="584"/>
      <c r="L127" s="307"/>
      <c r="M127" s="307"/>
      <c r="N127" s="584"/>
      <c r="O127" s="584"/>
    </row>
    <row r="128" spans="1:27">
      <c r="A128" s="455"/>
      <c r="B128" s="586"/>
      <c r="C128" s="586"/>
      <c r="N128" s="584"/>
      <c r="O128" s="584"/>
    </row>
    <row r="129" spans="1:15">
      <c r="A129" s="455"/>
      <c r="B129" s="586"/>
      <c r="C129" s="586"/>
      <c r="D129" s="584"/>
      <c r="E129" s="584"/>
      <c r="F129" s="584"/>
      <c r="G129" s="584"/>
      <c r="H129" s="584"/>
      <c r="I129" s="584"/>
      <c r="J129" s="584"/>
      <c r="K129" s="584"/>
      <c r="L129" s="307"/>
      <c r="M129" s="307"/>
      <c r="N129" s="584"/>
      <c r="O129" s="584"/>
    </row>
    <row r="130" spans="1:15">
      <c r="A130" s="455"/>
      <c r="B130" s="586"/>
      <c r="C130" s="586"/>
      <c r="D130" s="584"/>
      <c r="E130" s="584"/>
      <c r="F130" s="584"/>
      <c r="G130" s="584"/>
      <c r="H130" s="584"/>
      <c r="I130" s="584"/>
      <c r="J130" s="584"/>
      <c r="K130" s="584"/>
      <c r="L130" s="307"/>
      <c r="M130" s="307"/>
      <c r="N130" s="584"/>
      <c r="O130" s="584"/>
    </row>
    <row r="131" spans="1:15">
      <c r="A131" s="455"/>
      <c r="B131" s="586"/>
      <c r="C131" s="586"/>
      <c r="D131" s="584"/>
      <c r="E131" s="584"/>
      <c r="F131" s="584"/>
      <c r="G131" s="584"/>
      <c r="H131" s="584"/>
      <c r="I131" s="584"/>
      <c r="J131" s="584"/>
      <c r="K131" s="584"/>
      <c r="L131" s="307"/>
      <c r="M131" s="307"/>
      <c r="N131" s="584"/>
      <c r="O131" s="584"/>
    </row>
    <row r="132" spans="1:15">
      <c r="A132" s="455"/>
      <c r="B132" s="586"/>
      <c r="C132" s="586"/>
      <c r="D132" s="584"/>
      <c r="E132" s="584"/>
      <c r="F132" s="584"/>
      <c r="G132" s="584"/>
      <c r="H132" s="584"/>
      <c r="I132" s="584"/>
      <c r="J132" s="584"/>
      <c r="K132" s="584"/>
      <c r="L132" s="307"/>
      <c r="M132" s="307"/>
    </row>
    <row r="133" spans="1:15">
      <c r="A133" s="455"/>
      <c r="B133" s="586"/>
      <c r="C133" s="586"/>
      <c r="D133" s="584"/>
      <c r="E133" s="584"/>
      <c r="F133" s="584"/>
      <c r="G133" s="584"/>
      <c r="H133" s="584"/>
      <c r="I133" s="584"/>
      <c r="J133" s="584"/>
      <c r="K133" s="584"/>
      <c r="L133" s="307"/>
      <c r="M133" s="307"/>
    </row>
    <row r="134" spans="1:15">
      <c r="A134" s="455"/>
      <c r="B134" s="586"/>
      <c r="C134" s="586"/>
      <c r="D134" s="584"/>
      <c r="E134" s="584"/>
      <c r="F134" s="584"/>
      <c r="G134" s="584"/>
      <c r="H134" s="584"/>
      <c r="I134" s="584"/>
      <c r="J134" s="584"/>
      <c r="K134" s="584"/>
      <c r="L134" s="307"/>
      <c r="M134" s="307"/>
    </row>
    <row r="135" spans="1:15">
      <c r="A135" s="457"/>
      <c r="B135" s="458"/>
      <c r="C135" s="587"/>
    </row>
    <row r="136" spans="1:15">
      <c r="A136" s="587"/>
      <c r="B136" s="587"/>
      <c r="C136" s="587"/>
    </row>
    <row r="137" spans="1:15">
      <c r="A137" s="587"/>
      <c r="B137" s="587"/>
      <c r="C137" s="587"/>
    </row>
    <row r="138" spans="1:15">
      <c r="A138" s="459"/>
      <c r="B138" s="587"/>
      <c r="C138" s="587"/>
    </row>
    <row r="139" spans="1:15">
      <c r="A139" s="453"/>
      <c r="B139" s="586"/>
      <c r="C139" s="587"/>
    </row>
    <row r="140" spans="1:15">
      <c r="A140" s="587"/>
      <c r="B140" s="587"/>
      <c r="C140" s="587"/>
    </row>
    <row r="141" spans="1:15">
      <c r="A141" s="587"/>
      <c r="B141" s="587"/>
      <c r="C141" s="587"/>
    </row>
    <row r="142" spans="1:15">
      <c r="A142" s="587"/>
      <c r="B142" s="587"/>
      <c r="C142" s="587"/>
    </row>
    <row r="155" spans="14:18">
      <c r="N155" s="584"/>
      <c r="O155" s="584"/>
      <c r="P155" s="584"/>
      <c r="Q155" s="584"/>
      <c r="R155" s="584"/>
    </row>
    <row r="156" spans="14:18">
      <c r="N156" s="584"/>
      <c r="O156" s="584"/>
      <c r="P156" s="584"/>
      <c r="Q156" s="584"/>
      <c r="R156" s="584"/>
    </row>
    <row r="157" spans="14:18">
      <c r="N157" s="584"/>
      <c r="O157" s="584"/>
      <c r="P157" s="2"/>
      <c r="Q157" s="2"/>
      <c r="R157" s="584"/>
    </row>
    <row r="158" spans="14:18">
      <c r="N158" s="584"/>
      <c r="O158" s="584"/>
      <c r="P158" s="2"/>
      <c r="Q158" s="2"/>
      <c r="R158" s="584"/>
    </row>
    <row r="159" spans="14:18">
      <c r="N159" s="584"/>
      <c r="O159" s="584"/>
      <c r="P159" s="584"/>
      <c r="Q159" s="584"/>
      <c r="R159" s="584"/>
    </row>
    <row r="160" spans="14:18">
      <c r="N160" s="584"/>
      <c r="O160" s="584"/>
      <c r="P160" s="584"/>
      <c r="Q160" s="584"/>
      <c r="R160" s="584"/>
    </row>
    <row r="161" spans="14:18">
      <c r="N161" s="584"/>
      <c r="O161" s="584"/>
      <c r="P161" s="584"/>
      <c r="Q161" s="584"/>
      <c r="R161" s="584"/>
    </row>
    <row r="162" spans="14:18">
      <c r="N162" s="584"/>
      <c r="O162" s="584"/>
      <c r="P162" s="584"/>
      <c r="Q162" s="584"/>
      <c r="R162" s="584"/>
    </row>
    <row r="163" spans="14:18">
      <c r="N163" s="584"/>
      <c r="O163" s="584"/>
      <c r="P163" s="584"/>
      <c r="Q163" s="584"/>
      <c r="R163" s="584"/>
    </row>
  </sheetData>
  <mergeCells count="8">
    <mergeCell ref="D106:O106"/>
    <mergeCell ref="N107:O107"/>
    <mergeCell ref="C1:D1"/>
    <mergeCell ref="N1:O1"/>
    <mergeCell ref="N2:P2"/>
    <mergeCell ref="N49:P49"/>
    <mergeCell ref="D104:O104"/>
    <mergeCell ref="D105:O105"/>
  </mergeCells>
  <conditionalFormatting sqref="R13:R40 O25:P27 T25:T27 O33:P35 T33:T41 P36:P40 U40 S40:S41 O43:Q43 S43 P46:Q47 S46:S47 V40:V41 P51:S51 O52 O54:S54 P55:S55 P56:Q56 S56 O57:S58 P59:Q59 S59 P60:S60 O61:Q61 S61 O63 P63:Q64 S63:S64 T65:T66 P66:Q67 S66:S67 P75:S75 O76 O88:O92 R91:R92 T95:T96 O97:R97 T101:T102 P101:Q103 S103 T104:T105 P105:Q106 S105:S106 C115 C118:C122 D43:M43 D46:M47 D100:M100 D102:M102 R61:R74 R76:R79 O80:R86 P87:R90 O72:P74 T72:T74 T80:T88 U87 S87:S88 S90 P91:Q96 S93:S94 V87:V88 D90:M90 D93:M96">
    <cfRule type="cellIs" dxfId="1" priority="1" stopIfTrue="1" operator="lessThan">
      <formula>0</formula>
    </cfRule>
  </conditionalFormatting>
  <pageMargins left="0.43" right="0.27" top="0.51" bottom="0.39" header="0.15748031496062992" footer="0.19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O163"/>
  <sheetViews>
    <sheetView tabSelected="1" topLeftCell="A10" zoomScale="85" zoomScaleNormal="85" workbookViewId="0">
      <selection activeCell="T45" sqref="T45"/>
    </sheetView>
  </sheetViews>
  <sheetFormatPr defaultRowHeight="21"/>
  <cols>
    <col min="1" max="1" width="16" style="582" customWidth="1"/>
    <col min="2" max="2" width="43.85546875" style="582" customWidth="1"/>
    <col min="3" max="3" width="17.140625" style="582" customWidth="1"/>
    <col min="4" max="4" width="16.42578125" style="582" customWidth="1"/>
    <col min="5" max="5" width="24.7109375" style="582" hidden="1" customWidth="1"/>
    <col min="6" max="7" width="28.28515625" style="582" hidden="1" customWidth="1"/>
    <col min="8" max="8" width="20.85546875" style="582" customWidth="1"/>
    <col min="9" max="9" width="25" style="582" customWidth="1"/>
    <col min="10" max="10" width="16.42578125" style="582" customWidth="1"/>
    <col min="11" max="11" width="14" style="582" customWidth="1"/>
    <col min="12" max="13" width="16.42578125" style="309" hidden="1" customWidth="1"/>
    <col min="14" max="14" width="19" style="582" hidden="1" customWidth="1"/>
    <col min="15" max="15" width="19.85546875" style="582" hidden="1" customWidth="1"/>
    <col min="16" max="17" width="19" style="582" hidden="1" customWidth="1"/>
    <col min="18" max="18" width="23.140625" style="582" hidden="1" customWidth="1"/>
    <col min="19" max="19" width="2.42578125" style="582" hidden="1" customWidth="1"/>
    <col min="20" max="20" width="16.42578125" style="582" bestFit="1" customWidth="1"/>
    <col min="21" max="21" width="17.5703125" style="582" hidden="1" customWidth="1"/>
    <col min="22" max="22" width="18.7109375" style="582" bestFit="1" customWidth="1"/>
    <col min="23" max="23" width="23.28515625" style="582" customWidth="1"/>
    <col min="24" max="24" width="17" style="582" bestFit="1" customWidth="1"/>
    <col min="25" max="25" width="11.85546875" style="584" customWidth="1"/>
    <col min="26" max="26" width="7.140625" style="32" bestFit="1" customWidth="1"/>
    <col min="27" max="27" width="15" style="32" bestFit="1" customWidth="1"/>
    <col min="28" max="16384" width="9.140625" style="582"/>
  </cols>
  <sheetData>
    <row r="1" spans="1:36" ht="21.75" thickBot="1">
      <c r="A1" s="266"/>
      <c r="B1" s="265"/>
      <c r="C1" s="597"/>
      <c r="D1" s="598"/>
      <c r="E1" s="263"/>
      <c r="F1" s="263"/>
      <c r="G1" s="263"/>
      <c r="H1" s="263"/>
      <c r="I1" s="263"/>
      <c r="J1" s="263"/>
      <c r="K1" s="263"/>
      <c r="L1" s="286"/>
      <c r="M1" s="286"/>
      <c r="N1" s="597"/>
      <c r="O1" s="598"/>
      <c r="P1" s="583"/>
      <c r="Q1" s="263"/>
      <c r="R1" s="263"/>
      <c r="S1" s="262">
        <v>3</v>
      </c>
      <c r="T1" s="262"/>
      <c r="U1" s="262">
        <v>3</v>
      </c>
    </row>
    <row r="2" spans="1:36" s="584" customFormat="1" ht="21.75" thickBot="1">
      <c r="A2" s="408" t="s">
        <v>111</v>
      </c>
      <c r="B2" s="409" t="s">
        <v>112</v>
      </c>
      <c r="C2" s="412" t="s">
        <v>109</v>
      </c>
      <c r="D2" s="415"/>
      <c r="E2" s="411"/>
      <c r="F2" s="411"/>
      <c r="G2" s="411"/>
      <c r="H2" s="410" t="s">
        <v>117</v>
      </c>
      <c r="I2" s="411"/>
      <c r="J2" s="411"/>
      <c r="K2" s="411"/>
      <c r="L2" s="416"/>
      <c r="M2" s="416"/>
      <c r="N2" s="602" t="s">
        <v>59</v>
      </c>
      <c r="O2" s="602"/>
      <c r="P2" s="603"/>
      <c r="Q2" s="585"/>
      <c r="R2" s="418" t="s">
        <v>58</v>
      </c>
      <c r="S2" s="419"/>
      <c r="T2" s="420"/>
      <c r="U2" s="252"/>
      <c r="V2" s="582"/>
      <c r="W2" s="582"/>
      <c r="X2" s="582"/>
      <c r="Y2" s="338"/>
      <c r="Z2" s="247"/>
      <c r="AA2" s="32"/>
    </row>
    <row r="3" spans="1:36">
      <c r="A3" s="225"/>
      <c r="B3" s="414">
        <f>C3+D3</f>
        <v>115.3</v>
      </c>
      <c r="C3" s="31">
        <v>115.3</v>
      </c>
      <c r="D3" s="238"/>
      <c r="E3" s="284"/>
      <c r="F3" s="284"/>
      <c r="G3" s="284"/>
      <c r="H3" s="284"/>
      <c r="I3" s="284"/>
      <c r="J3" s="284"/>
      <c r="K3" s="284"/>
      <c r="L3" s="289"/>
      <c r="M3" s="289"/>
      <c r="N3" s="234"/>
      <c r="O3" s="235"/>
      <c r="P3" s="220"/>
      <c r="Q3" s="219"/>
      <c r="R3" s="219"/>
      <c r="S3" s="237"/>
      <c r="T3" s="31"/>
      <c r="U3" s="236"/>
      <c r="Y3" s="2"/>
      <c r="Z3" s="234"/>
      <c r="AA3" s="234"/>
      <c r="AB3" s="234"/>
      <c r="AC3" s="104"/>
      <c r="AD3" s="104"/>
      <c r="AE3" s="104"/>
      <c r="AF3" s="104"/>
      <c r="AG3" s="104"/>
    </row>
    <row r="4" spans="1:36" ht="21.75" thickBot="1">
      <c r="A4" s="232">
        <f>B3/B4</f>
        <v>38.43333333333333</v>
      </c>
      <c r="B4" s="201">
        <f>C4+D4</f>
        <v>3</v>
      </c>
      <c r="C4" s="223">
        <v>3</v>
      </c>
      <c r="D4" s="231"/>
      <c r="E4" s="280"/>
      <c r="F4" s="280"/>
      <c r="G4" s="280"/>
      <c r="H4" s="280"/>
      <c r="I4" s="280"/>
      <c r="J4" s="280"/>
      <c r="K4" s="280"/>
      <c r="L4" s="290"/>
      <c r="M4" s="290"/>
      <c r="N4" s="230"/>
      <c r="O4" s="229"/>
      <c r="P4" s="228"/>
      <c r="Q4" s="227"/>
      <c r="R4" s="227"/>
      <c r="S4" s="226"/>
      <c r="T4" s="223"/>
      <c r="U4" s="225"/>
      <c r="Y4" s="339"/>
      <c r="Z4" s="222"/>
      <c r="AB4" s="32"/>
      <c r="AE4" s="97"/>
      <c r="AJ4" s="97"/>
    </row>
    <row r="5" spans="1:36" ht="21.75" thickBot="1">
      <c r="A5" s="369"/>
      <c r="B5" s="370">
        <f>A5/A7</f>
        <v>0</v>
      </c>
      <c r="C5" s="103"/>
      <c r="D5" s="95"/>
      <c r="E5" s="95"/>
      <c r="F5" s="95"/>
      <c r="G5" s="95"/>
      <c r="H5" s="95"/>
      <c r="I5" s="95"/>
      <c r="J5" s="95"/>
      <c r="K5" s="95"/>
      <c r="L5" s="291"/>
      <c r="M5" s="291"/>
      <c r="N5" s="32"/>
      <c r="O5" s="221" t="s">
        <v>55</v>
      </c>
      <c r="P5" s="220">
        <f>R5*A5</f>
        <v>0</v>
      </c>
      <c r="Q5" s="219"/>
      <c r="R5" s="218">
        <f>B7*1.09</f>
        <v>13.627147300000001</v>
      </c>
      <c r="S5" s="32" t="s">
        <v>54</v>
      </c>
      <c r="T5" s="31"/>
      <c r="AB5" s="584"/>
      <c r="AC5" s="584"/>
      <c r="AD5" s="584"/>
      <c r="AE5" s="584"/>
    </row>
    <row r="6" spans="1:36">
      <c r="A6" s="372" t="s">
        <v>41</v>
      </c>
      <c r="B6" s="373" t="s">
        <v>101</v>
      </c>
      <c r="C6" s="374" t="s">
        <v>102</v>
      </c>
      <c r="D6" s="375" t="s">
        <v>103</v>
      </c>
      <c r="E6" s="374" t="e">
        <f>D6/1.11</f>
        <v>#VALUE!</v>
      </c>
      <c r="F6" s="374"/>
      <c r="G6" s="374"/>
      <c r="H6" s="374" t="s">
        <v>104</v>
      </c>
      <c r="I6" s="376" t="s">
        <v>105</v>
      </c>
      <c r="J6" s="95"/>
      <c r="K6" s="95"/>
      <c r="L6" s="291"/>
      <c r="M6" s="291"/>
      <c r="N6" s="31" t="e">
        <f>C6+D6</f>
        <v>#VALUE!</v>
      </c>
      <c r="O6" s="212"/>
      <c r="P6" s="215"/>
      <c r="Q6" s="214"/>
      <c r="R6" s="209"/>
      <c r="S6" s="32">
        <v>6439.36</v>
      </c>
      <c r="T6" s="31"/>
      <c r="AB6" s="584"/>
      <c r="AC6" s="584"/>
      <c r="AD6" s="584"/>
      <c r="AE6" s="584"/>
    </row>
    <row r="7" spans="1:36" ht="21.75" thickBot="1">
      <c r="A7" s="371">
        <f>B3</f>
        <v>115.3</v>
      </c>
      <c r="B7" s="581">
        <v>12.50197</v>
      </c>
      <c r="C7" s="378">
        <f>A7*B7</f>
        <v>1441.4771410000001</v>
      </c>
      <c r="D7" s="378">
        <f>C7*0.11</f>
        <v>158.56248551000002</v>
      </c>
      <c r="E7" s="378"/>
      <c r="F7" s="378"/>
      <c r="G7" s="378"/>
      <c r="H7" s="378">
        <f>SUM(C7:D7)</f>
        <v>1600.0396265100001</v>
      </c>
      <c r="I7" s="379">
        <v>315</v>
      </c>
      <c r="J7" s="31"/>
      <c r="K7" s="31"/>
      <c r="L7" s="289"/>
      <c r="M7" s="289"/>
      <c r="N7" s="31">
        <f>B7*1.09</f>
        <v>13.627147300000001</v>
      </c>
      <c r="O7" s="380" t="s">
        <v>52</v>
      </c>
      <c r="P7" s="381">
        <f>SUM(P5:P6)</f>
        <v>0</v>
      </c>
      <c r="Q7" s="382"/>
      <c r="R7" s="383">
        <f>P7/A7</f>
        <v>0</v>
      </c>
      <c r="S7" s="32"/>
      <c r="T7" s="34"/>
      <c r="AB7" s="584"/>
      <c r="AC7" s="584"/>
      <c r="AD7" s="584"/>
      <c r="AE7" s="584"/>
    </row>
    <row r="8" spans="1:36" ht="45" customHeight="1" thickBot="1">
      <c r="A8" s="413">
        <v>45930</v>
      </c>
      <c r="B8" s="24" t="s">
        <v>50</v>
      </c>
      <c r="C8" s="196"/>
      <c r="E8" s="98"/>
      <c r="F8" s="98"/>
      <c r="G8" s="98"/>
      <c r="H8" s="98"/>
      <c r="I8" s="98"/>
      <c r="J8" s="98"/>
      <c r="K8" s="98"/>
      <c r="L8" s="293"/>
      <c r="M8" s="293"/>
      <c r="N8" s="195"/>
      <c r="O8" s="24"/>
      <c r="P8" s="9">
        <f>P10*1.09</f>
        <v>16.895</v>
      </c>
      <c r="Q8" s="9"/>
      <c r="R8" s="24"/>
      <c r="S8" s="24"/>
      <c r="U8" s="97"/>
    </row>
    <row r="9" spans="1:36" s="32" customFormat="1" ht="77.25" customHeight="1" thickBot="1">
      <c r="A9" s="398"/>
      <c r="B9" s="399" t="s">
        <v>48</v>
      </c>
      <c r="C9" s="400"/>
      <c r="D9" s="401" t="s">
        <v>106</v>
      </c>
      <c r="E9" s="401"/>
      <c r="F9" s="401"/>
      <c r="G9" s="401"/>
      <c r="H9" s="401" t="s">
        <v>49</v>
      </c>
      <c r="I9" s="401" t="s">
        <v>107</v>
      </c>
      <c r="J9" s="401" t="s">
        <v>107</v>
      </c>
      <c r="K9" s="402" t="s">
        <v>97</v>
      </c>
      <c r="L9" s="403"/>
      <c r="M9" s="403"/>
      <c r="N9" s="404" t="s">
        <v>40</v>
      </c>
      <c r="O9" s="405" t="s">
        <v>37</v>
      </c>
      <c r="P9" s="402" t="s">
        <v>47</v>
      </c>
      <c r="Q9" s="402"/>
      <c r="R9" s="405" t="s">
        <v>37</v>
      </c>
      <c r="S9" s="406" t="s">
        <v>36</v>
      </c>
      <c r="T9" s="407" t="s">
        <v>35</v>
      </c>
      <c r="U9" s="351"/>
      <c r="V9" s="582"/>
      <c r="W9" s="582"/>
      <c r="X9" s="582"/>
      <c r="Y9" s="584"/>
    </row>
    <row r="10" spans="1:36">
      <c r="A10" s="386"/>
      <c r="B10" s="387" t="s">
        <v>45</v>
      </c>
      <c r="C10" s="388">
        <f>B4</f>
        <v>3</v>
      </c>
      <c r="D10" s="389">
        <f>B3</f>
        <v>115.3</v>
      </c>
      <c r="E10" s="390"/>
      <c r="F10" s="390"/>
      <c r="G10" s="390"/>
      <c r="H10" s="390"/>
      <c r="I10" s="390"/>
      <c r="J10" s="390"/>
      <c r="K10" s="390"/>
      <c r="L10" s="391"/>
      <c r="M10" s="391"/>
      <c r="N10" s="392">
        <f>B7</f>
        <v>12.50197</v>
      </c>
      <c r="O10" s="393">
        <f>((P10)/N10)-1</f>
        <v>0.2398046067939692</v>
      </c>
      <c r="P10" s="394">
        <v>15.5</v>
      </c>
      <c r="Q10" s="394">
        <f>P10*1.09</f>
        <v>16.895</v>
      </c>
      <c r="R10" s="395">
        <f>((S10)/N10)-1</f>
        <v>-1</v>
      </c>
      <c r="S10" s="396">
        <f>T10/1.09</f>
        <v>0</v>
      </c>
      <c r="T10" s="397"/>
      <c r="U10" s="352"/>
    </row>
    <row r="11" spans="1:36">
      <c r="A11" s="176" t="s">
        <v>44</v>
      </c>
      <c r="B11" s="175" t="s">
        <v>43</v>
      </c>
      <c r="C11" s="174">
        <f>D10/C10</f>
        <v>38.43333333333333</v>
      </c>
      <c r="D11" s="173" t="s">
        <v>42</v>
      </c>
      <c r="E11" s="173"/>
      <c r="F11" s="173"/>
      <c r="G11" s="173"/>
      <c r="H11" s="173"/>
      <c r="I11" s="173"/>
      <c r="J11" s="173"/>
      <c r="K11" s="173"/>
      <c r="L11" s="296"/>
      <c r="M11" s="296"/>
      <c r="N11" s="324">
        <f>D10*N10</f>
        <v>1441.4771410000001</v>
      </c>
      <c r="O11" s="171">
        <f>N11*O10</f>
        <v>345.6728589999999</v>
      </c>
      <c r="P11" s="170">
        <f>D10*P10</f>
        <v>1787.1499999999999</v>
      </c>
      <c r="Q11" s="170"/>
      <c r="R11" s="169">
        <f>N11*R10</f>
        <v>-1441.4771410000001</v>
      </c>
      <c r="S11" s="168">
        <f>D10*S10</f>
        <v>0</v>
      </c>
      <c r="T11" s="166"/>
      <c r="U11" s="353"/>
    </row>
    <row r="12" spans="1:36" ht="18.75" customHeight="1" thickBot="1">
      <c r="A12" s="164"/>
      <c r="B12" s="164"/>
      <c r="C12" s="164"/>
      <c r="D12" s="164"/>
      <c r="E12" s="328" t="s">
        <v>92</v>
      </c>
      <c r="F12" s="164" t="s">
        <v>87</v>
      </c>
      <c r="G12" s="329" t="s">
        <v>88</v>
      </c>
      <c r="H12" s="164"/>
      <c r="I12" s="164"/>
      <c r="J12" s="164"/>
      <c r="L12" s="297"/>
      <c r="M12" s="297"/>
      <c r="N12" s="163" t="s">
        <v>40</v>
      </c>
      <c r="O12" s="162" t="s">
        <v>37</v>
      </c>
      <c r="P12" s="160" t="s">
        <v>39</v>
      </c>
      <c r="Q12" s="161" t="s">
        <v>38</v>
      </c>
      <c r="R12" s="162" t="s">
        <v>37</v>
      </c>
      <c r="S12" s="161" t="s">
        <v>36</v>
      </c>
      <c r="T12" s="159"/>
      <c r="U12" s="354" t="s">
        <v>86</v>
      </c>
      <c r="W12" s="335" t="s">
        <v>85</v>
      </c>
      <c r="X12" s="333">
        <f>MAX(T13:T39)</f>
        <v>40</v>
      </c>
      <c r="Y12" s="343"/>
      <c r="Z12" s="344"/>
      <c r="AA12" s="344"/>
    </row>
    <row r="13" spans="1:36" ht="21.75" thickBot="1">
      <c r="A13" s="157" t="s">
        <v>118</v>
      </c>
      <c r="B13" s="156" t="s">
        <v>72</v>
      </c>
      <c r="C13" s="155">
        <v>1.67E-2</v>
      </c>
      <c r="D13" s="384">
        <f t="shared" ref="D13:D40" si="0">$D$10*C13</f>
        <v>1.9255099999999998</v>
      </c>
      <c r="E13" s="322">
        <f>D13*$N$10</f>
        <v>24.072668254699998</v>
      </c>
      <c r="F13" s="322">
        <f t="shared" ref="F13:F40" si="1">D13*$N$10*U13</f>
        <v>4.8145336509399996</v>
      </c>
      <c r="G13" s="330">
        <f t="shared" ref="G13:G40" si="2">F13*$F$42</f>
        <v>9.1038868303539555</v>
      </c>
      <c r="H13" s="322">
        <f t="shared" ref="H13:H14" si="3">IF(D13 &gt; 0, G13/D13, 0)</f>
        <v>4.7280392365419841</v>
      </c>
      <c r="I13" s="322">
        <f>K13-H13</f>
        <v>2.4791679706652223</v>
      </c>
      <c r="J13" s="326">
        <f t="shared" ref="J13:J41" si="4">IF(H13 &gt; 0, I13/H13, 0)</f>
        <v>0.52435435634803407</v>
      </c>
      <c r="K13" s="149">
        <f>T13/1.11</f>
        <v>7.2072072072072064</v>
      </c>
      <c r="L13" s="298">
        <f>T13/$N$10</f>
        <v>0.63989915189366153</v>
      </c>
      <c r="M13" s="298">
        <f>L13/1.6</f>
        <v>0.39993696993353844</v>
      </c>
      <c r="N13" s="327">
        <f>M13*$N$10</f>
        <v>5</v>
      </c>
      <c r="O13" s="153">
        <f t="shared" ref="O13:O38" si="5">(P13/(N13))-1</f>
        <v>0.39999999999999991</v>
      </c>
      <c r="P13" s="152">
        <v>7</v>
      </c>
      <c r="Q13" s="152">
        <f t="shared" ref="Q13:Q40" si="6">P13*1.09</f>
        <v>7.6300000000000008</v>
      </c>
      <c r="R13" s="151">
        <f t="shared" ref="R13:R39" si="7">((S13)/N13)-1</f>
        <v>0.46788990825688059</v>
      </c>
      <c r="S13" s="150">
        <f t="shared" ref="S13:S39" si="8">T13/1.09</f>
        <v>7.3394495412844032</v>
      </c>
      <c r="T13" s="360">
        <v>8</v>
      </c>
      <c r="U13" s="355">
        <f>T13/$X$12</f>
        <v>0.2</v>
      </c>
      <c r="V13" s="337"/>
      <c r="W13" s="335" t="s">
        <v>99</v>
      </c>
      <c r="X13" s="333">
        <f>E41</f>
        <v>1441.4771410000001</v>
      </c>
    </row>
    <row r="14" spans="1:36" ht="21.75" thickBot="1">
      <c r="A14" s="144" t="str">
        <f>$A$13</f>
        <v>315-30092025</v>
      </c>
      <c r="B14" s="147" t="s">
        <v>73</v>
      </c>
      <c r="C14" s="138">
        <v>3.2599999999999997E-2</v>
      </c>
      <c r="D14" s="385">
        <f t="shared" si="0"/>
        <v>3.7587799999999993</v>
      </c>
      <c r="E14" s="322">
        <f t="shared" ref="E14:E40" si="9">D14*$N$10</f>
        <v>46.992154796599991</v>
      </c>
      <c r="F14" s="322">
        <f t="shared" si="1"/>
        <v>3.5244116097449991</v>
      </c>
      <c r="G14" s="330">
        <f t="shared" si="2"/>
        <v>6.6643722455734782</v>
      </c>
      <c r="H14" s="322">
        <f t="shared" si="3"/>
        <v>1.7730147137032439</v>
      </c>
      <c r="I14" s="322">
        <f>K14-H14</f>
        <v>0.9296879889994587</v>
      </c>
      <c r="J14" s="326">
        <f t="shared" si="4"/>
        <v>0.52435435634803429</v>
      </c>
      <c r="K14" s="149">
        <f t="shared" ref="K14:K39" si="10">T14/1.11</f>
        <v>2.7027027027027026</v>
      </c>
      <c r="L14" s="298">
        <f t="shared" ref="L14:L42" si="11">T14/$N$10</f>
        <v>0.23996218196012309</v>
      </c>
      <c r="M14" s="298">
        <f t="shared" ref="M14:M42" si="12">L14/1.6</f>
        <v>0.14997636372507692</v>
      </c>
      <c r="N14" s="327">
        <f t="shared" ref="N14:N42" si="13">M14*$N$10</f>
        <v>1.8749999999999998</v>
      </c>
      <c r="O14" s="136">
        <f t="shared" si="5"/>
        <v>6.6666666666666874E-2</v>
      </c>
      <c r="P14" s="134">
        <v>2</v>
      </c>
      <c r="Q14" s="134">
        <f t="shared" si="6"/>
        <v>2.1800000000000002</v>
      </c>
      <c r="R14" s="133">
        <f t="shared" si="7"/>
        <v>0.46788990825688082</v>
      </c>
      <c r="S14" s="143">
        <f t="shared" si="8"/>
        <v>2.7522935779816513</v>
      </c>
      <c r="T14" s="361">
        <v>3</v>
      </c>
      <c r="U14" s="355">
        <f t="shared" ref="U14:U39" si="14">T14/$X$12</f>
        <v>7.4999999999999997E-2</v>
      </c>
      <c r="V14" s="337"/>
      <c r="W14" s="335" t="s">
        <v>98</v>
      </c>
      <c r="X14" s="333">
        <f>T41/1.11</f>
        <v>2197.3219594594593</v>
      </c>
    </row>
    <row r="15" spans="1:36" ht="21.75" hidden="1" thickBot="1">
      <c r="A15" s="144" t="str">
        <f t="shared" ref="A15:A39" si="15">$A$13</f>
        <v>315-30092025</v>
      </c>
      <c r="B15" s="139" t="s">
        <v>32</v>
      </c>
      <c r="C15" s="138">
        <v>0</v>
      </c>
      <c r="D15" s="385">
        <f t="shared" si="0"/>
        <v>0</v>
      </c>
      <c r="E15" s="322">
        <f t="shared" si="9"/>
        <v>0</v>
      </c>
      <c r="F15" s="322">
        <f t="shared" si="1"/>
        <v>0</v>
      </c>
      <c r="G15" s="330">
        <f t="shared" si="2"/>
        <v>0</v>
      </c>
      <c r="H15" s="322">
        <f>IF(D15 &gt; 0, G15/D15, 0)</f>
        <v>0</v>
      </c>
      <c r="I15" s="322">
        <f t="shared" ref="I15:I41" si="16">K15-H15</f>
        <v>9.0090090090090076</v>
      </c>
      <c r="J15" s="326">
        <f t="shared" si="4"/>
        <v>0</v>
      </c>
      <c r="K15" s="149">
        <f t="shared" si="10"/>
        <v>9.0090090090090076</v>
      </c>
      <c r="L15" s="298">
        <f t="shared" si="11"/>
        <v>0.799873939867077</v>
      </c>
      <c r="M15" s="298">
        <f t="shared" si="12"/>
        <v>0.49992121241692311</v>
      </c>
      <c r="N15" s="327">
        <f t="shared" si="13"/>
        <v>6.25</v>
      </c>
      <c r="O15" s="136">
        <f t="shared" si="5"/>
        <v>0.28000000000000003</v>
      </c>
      <c r="P15" s="134">
        <v>8</v>
      </c>
      <c r="Q15" s="134">
        <f t="shared" si="6"/>
        <v>8.7200000000000006</v>
      </c>
      <c r="R15" s="133">
        <f t="shared" si="7"/>
        <v>0.46788990825688082</v>
      </c>
      <c r="S15" s="143">
        <f t="shared" si="8"/>
        <v>9.1743119266055047</v>
      </c>
      <c r="T15" s="361">
        <v>10</v>
      </c>
      <c r="U15" s="355">
        <f t="shared" si="14"/>
        <v>0.25</v>
      </c>
      <c r="W15" s="335" t="s">
        <v>95</v>
      </c>
      <c r="X15" s="333">
        <f>X14-X13</f>
        <v>755.84481845945925</v>
      </c>
    </row>
    <row r="16" spans="1:36" ht="21.75" thickBot="1">
      <c r="A16" s="144" t="str">
        <f t="shared" si="15"/>
        <v>315-30092025</v>
      </c>
      <c r="B16" s="139" t="s">
        <v>74</v>
      </c>
      <c r="C16" s="138">
        <v>2.7300000000000001E-2</v>
      </c>
      <c r="D16" s="385">
        <f t="shared" si="0"/>
        <v>3.1476899999999999</v>
      </c>
      <c r="E16" s="322">
        <f t="shared" si="9"/>
        <v>39.352325949299996</v>
      </c>
      <c r="F16" s="322">
        <f t="shared" si="1"/>
        <v>18.692354825917498</v>
      </c>
      <c r="G16" s="330">
        <f t="shared" si="2"/>
        <v>35.345704333118242</v>
      </c>
      <c r="H16" s="322">
        <f t="shared" ref="H16:H40" si="17">IF(D16 &gt; 0, G16/D16, 0)</f>
        <v>11.229093186787214</v>
      </c>
      <c r="I16" s="322">
        <f t="shared" si="16"/>
        <v>5.8880239303299007</v>
      </c>
      <c r="J16" s="326">
        <f t="shared" si="4"/>
        <v>0.52435435634803373</v>
      </c>
      <c r="K16" s="149">
        <f t="shared" si="10"/>
        <v>17.117117117117115</v>
      </c>
      <c r="L16" s="298">
        <f t="shared" si="11"/>
        <v>1.5197604857474463</v>
      </c>
      <c r="M16" s="298">
        <f t="shared" si="12"/>
        <v>0.94985030359215383</v>
      </c>
      <c r="N16" s="327">
        <f t="shared" si="13"/>
        <v>11.875</v>
      </c>
      <c r="O16" s="136">
        <f t="shared" si="5"/>
        <v>0.34736842105263155</v>
      </c>
      <c r="P16" s="134">
        <v>16</v>
      </c>
      <c r="Q16" s="134">
        <f t="shared" si="6"/>
        <v>17.440000000000001</v>
      </c>
      <c r="R16" s="133">
        <f t="shared" si="7"/>
        <v>0.46788990825688059</v>
      </c>
      <c r="S16" s="143">
        <f t="shared" si="8"/>
        <v>17.431192660550458</v>
      </c>
      <c r="T16" s="361">
        <v>19</v>
      </c>
      <c r="U16" s="355">
        <f t="shared" si="14"/>
        <v>0.47499999999999998</v>
      </c>
      <c r="W16" s="335" t="s">
        <v>96</v>
      </c>
      <c r="X16" s="595">
        <f>X15/X13</f>
        <v>0.52435435634803396</v>
      </c>
      <c r="AA16" s="333"/>
    </row>
    <row r="17" spans="1:27" ht="21.75" thickBot="1">
      <c r="A17" s="144" t="str">
        <f t="shared" si="15"/>
        <v>315-30092025</v>
      </c>
      <c r="B17" s="139" t="s">
        <v>30</v>
      </c>
      <c r="C17" s="138">
        <v>1.15E-2</v>
      </c>
      <c r="D17" s="385">
        <f t="shared" si="0"/>
        <v>1.32595</v>
      </c>
      <c r="E17" s="322">
        <f t="shared" si="9"/>
        <v>16.5769871215</v>
      </c>
      <c r="F17" s="322">
        <f t="shared" si="1"/>
        <v>8.2884935607500001</v>
      </c>
      <c r="G17" s="330">
        <f t="shared" si="2"/>
        <v>15.67285906423211</v>
      </c>
      <c r="H17" s="322">
        <f t="shared" si="17"/>
        <v>11.820098091354961</v>
      </c>
      <c r="I17" s="322">
        <f t="shared" si="16"/>
        <v>6.1979199266630545</v>
      </c>
      <c r="J17" s="326">
        <f t="shared" si="4"/>
        <v>0.52435435634803396</v>
      </c>
      <c r="K17" s="149">
        <f t="shared" si="10"/>
        <v>18.018018018018015</v>
      </c>
      <c r="L17" s="298">
        <f t="shared" si="11"/>
        <v>1.599747879734154</v>
      </c>
      <c r="M17" s="298">
        <f t="shared" si="12"/>
        <v>0.99984242483384622</v>
      </c>
      <c r="N17" s="327">
        <f t="shared" si="13"/>
        <v>12.5</v>
      </c>
      <c r="O17" s="136">
        <f t="shared" si="5"/>
        <v>4.0000000000000036E-2</v>
      </c>
      <c r="P17" s="134">
        <v>13</v>
      </c>
      <c r="Q17" s="134">
        <f t="shared" si="6"/>
        <v>14.170000000000002</v>
      </c>
      <c r="R17" s="133">
        <f t="shared" si="7"/>
        <v>0.46788990825688082</v>
      </c>
      <c r="S17" s="143">
        <f t="shared" si="8"/>
        <v>18.348623853211009</v>
      </c>
      <c r="T17" s="361">
        <v>20</v>
      </c>
      <c r="U17" s="355">
        <f t="shared" si="14"/>
        <v>0.5</v>
      </c>
      <c r="W17" s="32"/>
      <c r="X17" s="32"/>
      <c r="AA17" s="333"/>
    </row>
    <row r="18" spans="1:27" ht="21.75" thickBot="1">
      <c r="A18" s="144" t="str">
        <f t="shared" si="15"/>
        <v>315-30092025</v>
      </c>
      <c r="B18" s="139" t="s">
        <v>75</v>
      </c>
      <c r="C18" s="138">
        <v>0.1198</v>
      </c>
      <c r="D18" s="385">
        <f t="shared" si="0"/>
        <v>13.812939999999999</v>
      </c>
      <c r="E18" s="322">
        <f t="shared" si="9"/>
        <v>172.6889614918</v>
      </c>
      <c r="F18" s="322">
        <f t="shared" si="1"/>
        <v>107.930600932375</v>
      </c>
      <c r="G18" s="330">
        <f t="shared" si="2"/>
        <v>204.08788216250073</v>
      </c>
      <c r="H18" s="322">
        <f t="shared" si="17"/>
        <v>14.775122614193702</v>
      </c>
      <c r="I18" s="322">
        <f t="shared" si="16"/>
        <v>7.7473999083288199</v>
      </c>
      <c r="J18" s="326">
        <f t="shared" si="4"/>
        <v>0.52435435634803396</v>
      </c>
      <c r="K18" s="149">
        <f t="shared" si="10"/>
        <v>22.522522522522522</v>
      </c>
      <c r="L18" s="298">
        <f t="shared" si="11"/>
        <v>1.9996848496676924</v>
      </c>
      <c r="M18" s="298">
        <f t="shared" si="12"/>
        <v>1.2498030310423076</v>
      </c>
      <c r="N18" s="327">
        <f t="shared" si="13"/>
        <v>15.624999999999998</v>
      </c>
      <c r="O18" s="136">
        <f t="shared" si="5"/>
        <v>0.31200000000000006</v>
      </c>
      <c r="P18" s="134">
        <v>20.5</v>
      </c>
      <c r="Q18" s="134">
        <f t="shared" si="6"/>
        <v>22.345000000000002</v>
      </c>
      <c r="R18" s="133">
        <f t="shared" si="7"/>
        <v>0.46788990825688059</v>
      </c>
      <c r="S18" s="143">
        <f t="shared" si="8"/>
        <v>22.935779816513758</v>
      </c>
      <c r="T18" s="361">
        <v>25</v>
      </c>
      <c r="U18" s="355">
        <f t="shared" si="14"/>
        <v>0.625</v>
      </c>
    </row>
    <row r="19" spans="1:27" ht="21.75" thickBot="1">
      <c r="A19" s="144" t="str">
        <f t="shared" si="15"/>
        <v>315-30092025</v>
      </c>
      <c r="B19" s="139" t="s">
        <v>76</v>
      </c>
      <c r="C19" s="138">
        <v>5.3699999999999998E-2</v>
      </c>
      <c r="D19" s="385">
        <f t="shared" si="0"/>
        <v>6.1916099999999998</v>
      </c>
      <c r="E19" s="322">
        <f t="shared" si="9"/>
        <v>77.407322471699999</v>
      </c>
      <c r="F19" s="322">
        <f t="shared" si="1"/>
        <v>48.379576544812501</v>
      </c>
      <c r="G19" s="330">
        <f t="shared" si="2"/>
        <v>91.481796929267873</v>
      </c>
      <c r="H19" s="322">
        <f t="shared" si="17"/>
        <v>14.775122614193704</v>
      </c>
      <c r="I19" s="322">
        <f t="shared" si="16"/>
        <v>7.7473999083288181</v>
      </c>
      <c r="J19" s="326">
        <f t="shared" si="4"/>
        <v>0.52435435634803385</v>
      </c>
      <c r="K19" s="149">
        <f t="shared" si="10"/>
        <v>22.522522522522522</v>
      </c>
      <c r="L19" s="298">
        <f t="shared" si="11"/>
        <v>1.9996848496676924</v>
      </c>
      <c r="M19" s="298">
        <f t="shared" si="12"/>
        <v>1.2498030310423076</v>
      </c>
      <c r="N19" s="327">
        <f t="shared" si="13"/>
        <v>15.624999999999998</v>
      </c>
      <c r="O19" s="136">
        <f t="shared" si="5"/>
        <v>0.31200000000000006</v>
      </c>
      <c r="P19" s="134">
        <v>20.5</v>
      </c>
      <c r="Q19" s="134">
        <f t="shared" si="6"/>
        <v>22.345000000000002</v>
      </c>
      <c r="R19" s="133">
        <f t="shared" si="7"/>
        <v>0.46788990825688059</v>
      </c>
      <c r="S19" s="143">
        <f t="shared" si="8"/>
        <v>22.935779816513758</v>
      </c>
      <c r="T19" s="361">
        <v>25</v>
      </c>
      <c r="U19" s="355">
        <f t="shared" si="14"/>
        <v>0.625</v>
      </c>
    </row>
    <row r="20" spans="1:27" ht="21.75" hidden="1" thickBot="1">
      <c r="A20" s="144" t="str">
        <f t="shared" si="15"/>
        <v>315-30092025</v>
      </c>
      <c r="B20" s="139" t="s">
        <v>27</v>
      </c>
      <c r="C20" s="138">
        <v>0</v>
      </c>
      <c r="D20" s="385">
        <f t="shared" si="0"/>
        <v>0</v>
      </c>
      <c r="E20" s="322">
        <f t="shared" si="9"/>
        <v>0</v>
      </c>
      <c r="F20" s="322">
        <f t="shared" si="1"/>
        <v>0</v>
      </c>
      <c r="G20" s="330">
        <f t="shared" si="2"/>
        <v>0</v>
      </c>
      <c r="H20" s="322">
        <f t="shared" si="17"/>
        <v>0</v>
      </c>
      <c r="I20" s="322">
        <f t="shared" si="16"/>
        <v>22.072072072072071</v>
      </c>
      <c r="J20" s="326">
        <f t="shared" si="4"/>
        <v>0</v>
      </c>
      <c r="K20" s="149">
        <f t="shared" si="10"/>
        <v>22.072072072072071</v>
      </c>
      <c r="L20" s="298">
        <f t="shared" si="11"/>
        <v>1.9596911526743386</v>
      </c>
      <c r="M20" s="298">
        <f t="shared" si="12"/>
        <v>1.2248069704214615</v>
      </c>
      <c r="N20" s="327">
        <f t="shared" si="13"/>
        <v>15.312499999999998</v>
      </c>
      <c r="O20" s="136">
        <f t="shared" si="5"/>
        <v>0.14285714285714302</v>
      </c>
      <c r="P20" s="134">
        <v>17.5</v>
      </c>
      <c r="Q20" s="134">
        <f t="shared" si="6"/>
        <v>19.075000000000003</v>
      </c>
      <c r="R20" s="133">
        <f t="shared" si="7"/>
        <v>0.46788990825688082</v>
      </c>
      <c r="S20" s="143">
        <f t="shared" si="8"/>
        <v>22.477064220183486</v>
      </c>
      <c r="T20" s="361">
        <v>24.5</v>
      </c>
      <c r="U20" s="355">
        <f t="shared" si="14"/>
        <v>0.61250000000000004</v>
      </c>
      <c r="AA20" s="333"/>
    </row>
    <row r="21" spans="1:27" ht="21.75" hidden="1" thickBot="1">
      <c r="A21" s="144" t="str">
        <f t="shared" si="15"/>
        <v>315-30092025</v>
      </c>
      <c r="B21" s="139" t="s">
        <v>26</v>
      </c>
      <c r="C21" s="138">
        <v>0</v>
      </c>
      <c r="D21" s="385">
        <f t="shared" si="0"/>
        <v>0</v>
      </c>
      <c r="E21" s="322">
        <f t="shared" si="9"/>
        <v>0</v>
      </c>
      <c r="F21" s="322">
        <f t="shared" si="1"/>
        <v>0</v>
      </c>
      <c r="G21" s="330">
        <f t="shared" si="2"/>
        <v>0</v>
      </c>
      <c r="H21" s="322">
        <f t="shared" si="17"/>
        <v>0</v>
      </c>
      <c r="I21" s="322">
        <f t="shared" si="16"/>
        <v>19.819819819819816</v>
      </c>
      <c r="J21" s="326">
        <f t="shared" si="4"/>
        <v>0</v>
      </c>
      <c r="K21" s="149">
        <f t="shared" si="10"/>
        <v>19.819819819819816</v>
      </c>
      <c r="L21" s="298">
        <f t="shared" si="11"/>
        <v>1.7597226677075692</v>
      </c>
      <c r="M21" s="298">
        <f t="shared" si="12"/>
        <v>1.0998266673172308</v>
      </c>
      <c r="N21" s="327">
        <f t="shared" si="13"/>
        <v>13.75</v>
      </c>
      <c r="O21" s="136">
        <f t="shared" si="5"/>
        <v>9.0909090909090828E-2</v>
      </c>
      <c r="P21" s="134">
        <v>15</v>
      </c>
      <c r="Q21" s="134">
        <f t="shared" si="6"/>
        <v>16.350000000000001</v>
      </c>
      <c r="R21" s="133">
        <f t="shared" si="7"/>
        <v>0.46788990825688059</v>
      </c>
      <c r="S21" s="143">
        <f t="shared" si="8"/>
        <v>20.183486238532108</v>
      </c>
      <c r="T21" s="361">
        <v>22</v>
      </c>
      <c r="U21" s="355">
        <f t="shared" si="14"/>
        <v>0.55000000000000004</v>
      </c>
    </row>
    <row r="22" spans="1:27" ht="21.75" thickBot="1">
      <c r="A22" s="144" t="str">
        <f t="shared" si="15"/>
        <v>315-30092025</v>
      </c>
      <c r="B22" s="139" t="s">
        <v>77</v>
      </c>
      <c r="C22" s="138">
        <v>7.0499999999999993E-2</v>
      </c>
      <c r="D22" s="385">
        <f t="shared" si="0"/>
        <v>8.1286499999999986</v>
      </c>
      <c r="E22" s="322">
        <f t="shared" si="9"/>
        <v>101.62413844049998</v>
      </c>
      <c r="F22" s="322">
        <f t="shared" si="1"/>
        <v>83.83991421341247</v>
      </c>
      <c r="G22" s="330">
        <f t="shared" si="2"/>
        <v>158.53437657798258</v>
      </c>
      <c r="H22" s="322">
        <f t="shared" si="17"/>
        <v>19.503161850735683</v>
      </c>
      <c r="I22" s="322">
        <f t="shared" si="16"/>
        <v>10.226567878994043</v>
      </c>
      <c r="J22" s="326">
        <f t="shared" si="4"/>
        <v>0.52435435634803407</v>
      </c>
      <c r="K22" s="149">
        <f t="shared" si="10"/>
        <v>29.729729729729726</v>
      </c>
      <c r="L22" s="298">
        <f t="shared" si="11"/>
        <v>2.6395840015613539</v>
      </c>
      <c r="M22" s="298">
        <f t="shared" si="12"/>
        <v>1.6497400009758461</v>
      </c>
      <c r="N22" s="327">
        <f t="shared" si="13"/>
        <v>20.624999999999996</v>
      </c>
      <c r="O22" s="136">
        <f t="shared" si="5"/>
        <v>0.35757575757575788</v>
      </c>
      <c r="P22" s="134">
        <v>28</v>
      </c>
      <c r="Q22" s="134">
        <f t="shared" si="6"/>
        <v>30.520000000000003</v>
      </c>
      <c r="R22" s="133">
        <f t="shared" si="7"/>
        <v>0.46788990825688104</v>
      </c>
      <c r="S22" s="143">
        <f t="shared" si="8"/>
        <v>30.275229357798164</v>
      </c>
      <c r="T22" s="361">
        <v>33</v>
      </c>
      <c r="U22" s="355">
        <f t="shared" si="14"/>
        <v>0.82499999999999996</v>
      </c>
    </row>
    <row r="23" spans="1:27" ht="21.75" thickBot="1">
      <c r="A23" s="144" t="str">
        <f t="shared" si="15"/>
        <v>315-30092025</v>
      </c>
      <c r="B23" s="139" t="s">
        <v>78</v>
      </c>
      <c r="C23" s="138">
        <v>7.22E-2</v>
      </c>
      <c r="D23" s="385">
        <f t="shared" si="0"/>
        <v>8.3246599999999997</v>
      </c>
      <c r="E23" s="322">
        <f t="shared" si="9"/>
        <v>104.0746495802</v>
      </c>
      <c r="F23" s="322">
        <f t="shared" si="1"/>
        <v>85.861585903665002</v>
      </c>
      <c r="G23" s="330">
        <f t="shared" si="2"/>
        <v>162.35719133234534</v>
      </c>
      <c r="H23" s="322">
        <f t="shared" si="17"/>
        <v>19.503161850735687</v>
      </c>
      <c r="I23" s="322">
        <f t="shared" si="16"/>
        <v>10.22656787899404</v>
      </c>
      <c r="J23" s="326">
        <f t="shared" si="4"/>
        <v>0.52435435634803385</v>
      </c>
      <c r="K23" s="149">
        <f t="shared" si="10"/>
        <v>29.729729729729726</v>
      </c>
      <c r="L23" s="298">
        <f t="shared" si="11"/>
        <v>2.6395840015613539</v>
      </c>
      <c r="M23" s="298">
        <f t="shared" si="12"/>
        <v>1.6497400009758461</v>
      </c>
      <c r="N23" s="327">
        <f t="shared" si="13"/>
        <v>20.624999999999996</v>
      </c>
      <c r="O23" s="136">
        <f t="shared" si="5"/>
        <v>0.35757575757575788</v>
      </c>
      <c r="P23" s="134">
        <v>28</v>
      </c>
      <c r="Q23" s="134">
        <f t="shared" si="6"/>
        <v>30.520000000000003</v>
      </c>
      <c r="R23" s="133">
        <f t="shared" si="7"/>
        <v>0.46788990825688104</v>
      </c>
      <c r="S23" s="143">
        <f t="shared" si="8"/>
        <v>30.275229357798164</v>
      </c>
      <c r="T23" s="361">
        <v>33</v>
      </c>
      <c r="U23" s="355">
        <f t="shared" si="14"/>
        <v>0.82499999999999996</v>
      </c>
    </row>
    <row r="24" spans="1:27" ht="21.75" hidden="1" thickBot="1">
      <c r="A24" s="144" t="str">
        <f t="shared" si="15"/>
        <v>315-30092025</v>
      </c>
      <c r="B24" s="139" t="s">
        <v>23</v>
      </c>
      <c r="C24" s="138">
        <v>0</v>
      </c>
      <c r="D24" s="385">
        <f t="shared" si="0"/>
        <v>0</v>
      </c>
      <c r="E24" s="322">
        <f t="shared" si="9"/>
        <v>0</v>
      </c>
      <c r="F24" s="322">
        <f t="shared" si="1"/>
        <v>0</v>
      </c>
      <c r="G24" s="330">
        <f t="shared" si="2"/>
        <v>0</v>
      </c>
      <c r="H24" s="322">
        <f t="shared" si="17"/>
        <v>0</v>
      </c>
      <c r="I24" s="322">
        <f t="shared" si="16"/>
        <v>22.972972972972972</v>
      </c>
      <c r="J24" s="326">
        <f t="shared" si="4"/>
        <v>0</v>
      </c>
      <c r="K24" s="149">
        <f t="shared" si="10"/>
        <v>22.972972972972972</v>
      </c>
      <c r="L24" s="298">
        <f t="shared" si="11"/>
        <v>2.0396785466610461</v>
      </c>
      <c r="M24" s="298">
        <f t="shared" si="12"/>
        <v>1.2747990916631537</v>
      </c>
      <c r="N24" s="327">
        <f t="shared" si="13"/>
        <v>15.937499999999998</v>
      </c>
      <c r="O24" s="136">
        <f t="shared" si="5"/>
        <v>6.0392156862745017E-2</v>
      </c>
      <c r="P24" s="134">
        <v>16.899999999999999</v>
      </c>
      <c r="Q24" s="134">
        <f t="shared" si="6"/>
        <v>18.420999999999999</v>
      </c>
      <c r="R24" s="133">
        <f t="shared" si="7"/>
        <v>0.46788990825688082</v>
      </c>
      <c r="S24" s="143">
        <f t="shared" si="8"/>
        <v>23.394495412844034</v>
      </c>
      <c r="T24" s="361">
        <v>25.5</v>
      </c>
      <c r="U24" s="355">
        <f t="shared" si="14"/>
        <v>0.63749999999999996</v>
      </c>
    </row>
    <row r="25" spans="1:27" ht="21.75" thickBot="1">
      <c r="A25" s="144" t="str">
        <f t="shared" si="15"/>
        <v>315-30092025</v>
      </c>
      <c r="B25" s="139" t="s">
        <v>79</v>
      </c>
      <c r="C25" s="138">
        <v>0.1797</v>
      </c>
      <c r="D25" s="385">
        <f t="shared" si="0"/>
        <v>20.71941</v>
      </c>
      <c r="E25" s="322">
        <f t="shared" si="9"/>
        <v>259.0334422377</v>
      </c>
      <c r="F25" s="322">
        <f t="shared" si="1"/>
        <v>158.65798337059127</v>
      </c>
      <c r="G25" s="330">
        <f t="shared" si="2"/>
        <v>300.00918677887614</v>
      </c>
      <c r="H25" s="322">
        <f t="shared" si="17"/>
        <v>14.47962016190983</v>
      </c>
      <c r="I25" s="322">
        <f t="shared" si="16"/>
        <v>7.5924519101622412</v>
      </c>
      <c r="J25" s="326">
        <f t="shared" si="4"/>
        <v>0.52435435634803373</v>
      </c>
      <c r="K25" s="149">
        <f t="shared" si="10"/>
        <v>22.072072072072071</v>
      </c>
      <c r="L25" s="298">
        <f t="shared" si="11"/>
        <v>1.9596911526743386</v>
      </c>
      <c r="M25" s="298">
        <f t="shared" si="12"/>
        <v>1.2248069704214615</v>
      </c>
      <c r="N25" s="327">
        <f t="shared" si="13"/>
        <v>15.312499999999998</v>
      </c>
      <c r="O25" s="136">
        <f t="shared" si="5"/>
        <v>0.30612244897959195</v>
      </c>
      <c r="P25" s="134">
        <v>20</v>
      </c>
      <c r="Q25" s="134">
        <f t="shared" si="6"/>
        <v>21.8</v>
      </c>
      <c r="R25" s="133">
        <f t="shared" si="7"/>
        <v>0.46788990825688082</v>
      </c>
      <c r="S25" s="143">
        <f t="shared" si="8"/>
        <v>22.477064220183486</v>
      </c>
      <c r="T25" s="361">
        <v>24.5</v>
      </c>
      <c r="U25" s="355">
        <f t="shared" si="14"/>
        <v>0.61250000000000004</v>
      </c>
    </row>
    <row r="26" spans="1:27" ht="21.75" hidden="1" thickBot="1">
      <c r="A26" s="144" t="str">
        <f t="shared" si="15"/>
        <v>315-30092025</v>
      </c>
      <c r="B26" s="139" t="s">
        <v>21</v>
      </c>
      <c r="C26" s="138">
        <v>0</v>
      </c>
      <c r="D26" s="385">
        <f t="shared" si="0"/>
        <v>0</v>
      </c>
      <c r="E26" s="322">
        <f t="shared" si="9"/>
        <v>0</v>
      </c>
      <c r="F26" s="322">
        <f t="shared" si="1"/>
        <v>0</v>
      </c>
      <c r="G26" s="330">
        <f t="shared" si="2"/>
        <v>0</v>
      </c>
      <c r="H26" s="322">
        <f t="shared" si="17"/>
        <v>0</v>
      </c>
      <c r="I26" s="322">
        <f t="shared" si="16"/>
        <v>23.423423423423422</v>
      </c>
      <c r="J26" s="326">
        <f t="shared" si="4"/>
        <v>0</v>
      </c>
      <c r="K26" s="149">
        <f t="shared" si="10"/>
        <v>23.423423423423422</v>
      </c>
      <c r="L26" s="298">
        <f t="shared" si="11"/>
        <v>2.0796722436544002</v>
      </c>
      <c r="M26" s="298">
        <f t="shared" si="12"/>
        <v>1.2997951522840001</v>
      </c>
      <c r="N26" s="327">
        <f t="shared" si="13"/>
        <v>16.25</v>
      </c>
      <c r="O26" s="136">
        <f t="shared" si="5"/>
        <v>0.29230769230769238</v>
      </c>
      <c r="P26" s="134">
        <v>21</v>
      </c>
      <c r="Q26" s="134">
        <f t="shared" si="6"/>
        <v>22.89</v>
      </c>
      <c r="R26" s="133">
        <f t="shared" si="7"/>
        <v>0.46788990825688059</v>
      </c>
      <c r="S26" s="143">
        <f t="shared" si="8"/>
        <v>23.853211009174309</v>
      </c>
      <c r="T26" s="361">
        <v>26</v>
      </c>
      <c r="U26" s="355">
        <f t="shared" si="14"/>
        <v>0.65</v>
      </c>
    </row>
    <row r="27" spans="1:27" ht="21.75" hidden="1" thickBot="1">
      <c r="A27" s="144" t="str">
        <f t="shared" si="15"/>
        <v>315-30092025</v>
      </c>
      <c r="B27" s="139" t="s">
        <v>20</v>
      </c>
      <c r="C27" s="138">
        <v>0</v>
      </c>
      <c r="D27" s="385">
        <f t="shared" si="0"/>
        <v>0</v>
      </c>
      <c r="E27" s="322">
        <f t="shared" si="9"/>
        <v>0</v>
      </c>
      <c r="F27" s="322">
        <f t="shared" si="1"/>
        <v>0</v>
      </c>
      <c r="G27" s="330">
        <f t="shared" si="2"/>
        <v>0</v>
      </c>
      <c r="H27" s="322">
        <f t="shared" si="17"/>
        <v>0</v>
      </c>
      <c r="I27" s="322">
        <f t="shared" si="16"/>
        <v>24.774774774774773</v>
      </c>
      <c r="J27" s="326">
        <f t="shared" si="4"/>
        <v>0</v>
      </c>
      <c r="K27" s="149">
        <f t="shared" si="10"/>
        <v>24.774774774774773</v>
      </c>
      <c r="L27" s="298">
        <f t="shared" si="11"/>
        <v>2.1996533346344616</v>
      </c>
      <c r="M27" s="298">
        <f t="shared" si="12"/>
        <v>1.3747833341465383</v>
      </c>
      <c r="N27" s="327">
        <f t="shared" si="13"/>
        <v>17.187499999999996</v>
      </c>
      <c r="O27" s="136">
        <f t="shared" si="5"/>
        <v>0.25090909090909119</v>
      </c>
      <c r="P27" s="134">
        <v>21.5</v>
      </c>
      <c r="Q27" s="134">
        <f t="shared" si="6"/>
        <v>23.435000000000002</v>
      </c>
      <c r="R27" s="133">
        <f t="shared" si="7"/>
        <v>0.46788990825688104</v>
      </c>
      <c r="S27" s="143">
        <f t="shared" si="8"/>
        <v>25.229357798165136</v>
      </c>
      <c r="T27" s="361">
        <v>27.5</v>
      </c>
      <c r="U27" s="355">
        <f t="shared" si="14"/>
        <v>0.6875</v>
      </c>
    </row>
    <row r="28" spans="1:27" ht="21.75" thickBot="1">
      <c r="A28" s="144" t="str">
        <f t="shared" si="15"/>
        <v>315-30092025</v>
      </c>
      <c r="B28" s="139" t="s">
        <v>80</v>
      </c>
      <c r="C28" s="138">
        <v>0.2326</v>
      </c>
      <c r="D28" s="385">
        <f t="shared" si="0"/>
        <v>26.81878</v>
      </c>
      <c r="E28" s="322">
        <f t="shared" si="9"/>
        <v>335.28758299660001</v>
      </c>
      <c r="F28" s="322">
        <f t="shared" si="1"/>
        <v>176.02598107321501</v>
      </c>
      <c r="G28" s="330">
        <f t="shared" si="2"/>
        <v>332.85064080499205</v>
      </c>
      <c r="H28" s="322">
        <f t="shared" si="17"/>
        <v>12.411102995922709</v>
      </c>
      <c r="I28" s="322">
        <f t="shared" si="16"/>
        <v>6.5078159229962065</v>
      </c>
      <c r="J28" s="326">
        <f t="shared" si="4"/>
        <v>0.52435435634803385</v>
      </c>
      <c r="K28" s="149">
        <f t="shared" si="10"/>
        <v>18.918918918918916</v>
      </c>
      <c r="L28" s="298">
        <f t="shared" si="11"/>
        <v>1.6797352737208615</v>
      </c>
      <c r="M28" s="298">
        <f t="shared" si="12"/>
        <v>1.0498345460755383</v>
      </c>
      <c r="N28" s="327">
        <f t="shared" si="13"/>
        <v>13.124999999999996</v>
      </c>
      <c r="O28" s="136">
        <f t="shared" si="5"/>
        <v>0.37142857142857189</v>
      </c>
      <c r="P28" s="134">
        <v>18</v>
      </c>
      <c r="Q28" s="134">
        <f t="shared" si="6"/>
        <v>19.62</v>
      </c>
      <c r="R28" s="133">
        <f t="shared" si="7"/>
        <v>0.46788990825688082</v>
      </c>
      <c r="S28" s="143">
        <f t="shared" si="8"/>
        <v>19.266055045871557</v>
      </c>
      <c r="T28" s="361">
        <v>21</v>
      </c>
      <c r="U28" s="355">
        <f t="shared" si="14"/>
        <v>0.52500000000000002</v>
      </c>
    </row>
    <row r="29" spans="1:27" ht="21.75" hidden="1" thickBot="1">
      <c r="A29" s="144" t="str">
        <f t="shared" si="15"/>
        <v>315-30092025</v>
      </c>
      <c r="B29" s="139" t="s">
        <v>18</v>
      </c>
      <c r="C29" s="138">
        <v>0</v>
      </c>
      <c r="D29" s="385">
        <f t="shared" si="0"/>
        <v>0</v>
      </c>
      <c r="E29" s="322">
        <f t="shared" si="9"/>
        <v>0</v>
      </c>
      <c r="F29" s="322">
        <f t="shared" si="1"/>
        <v>0</v>
      </c>
      <c r="G29" s="330">
        <f t="shared" si="2"/>
        <v>0</v>
      </c>
      <c r="H29" s="322">
        <f t="shared" si="17"/>
        <v>0</v>
      </c>
      <c r="I29" s="322">
        <f t="shared" si="16"/>
        <v>22.072072072072071</v>
      </c>
      <c r="J29" s="326">
        <f t="shared" si="4"/>
        <v>0</v>
      </c>
      <c r="K29" s="149">
        <f t="shared" si="10"/>
        <v>22.072072072072071</v>
      </c>
      <c r="L29" s="298">
        <f t="shared" si="11"/>
        <v>1.9596911526743386</v>
      </c>
      <c r="M29" s="298">
        <f t="shared" si="12"/>
        <v>1.2248069704214615</v>
      </c>
      <c r="N29" s="327">
        <f t="shared" si="13"/>
        <v>15.312499999999998</v>
      </c>
      <c r="O29" s="136">
        <f t="shared" si="5"/>
        <v>0.17551020408163276</v>
      </c>
      <c r="P29" s="134">
        <v>18</v>
      </c>
      <c r="Q29" s="134">
        <f t="shared" si="6"/>
        <v>19.62</v>
      </c>
      <c r="R29" s="133">
        <f t="shared" si="7"/>
        <v>0.46788990825688082</v>
      </c>
      <c r="S29" s="143">
        <f t="shared" si="8"/>
        <v>22.477064220183486</v>
      </c>
      <c r="T29" s="361">
        <v>24.5</v>
      </c>
      <c r="U29" s="355">
        <f t="shared" si="14"/>
        <v>0.61250000000000004</v>
      </c>
    </row>
    <row r="30" spans="1:27" ht="21.75" thickBot="1">
      <c r="A30" s="144" t="str">
        <f t="shared" si="15"/>
        <v>315-30092025</v>
      </c>
      <c r="B30" s="146" t="s">
        <v>81</v>
      </c>
      <c r="C30" s="138">
        <v>4.58E-2</v>
      </c>
      <c r="D30" s="385">
        <f t="shared" si="0"/>
        <v>5.2807399999999998</v>
      </c>
      <c r="E30" s="322">
        <f t="shared" si="9"/>
        <v>66.019653057799999</v>
      </c>
      <c r="F30" s="322">
        <f t="shared" si="1"/>
        <v>13.203930611560001</v>
      </c>
      <c r="G30" s="330">
        <f t="shared" si="2"/>
        <v>24.967545917976722</v>
      </c>
      <c r="H30" s="322">
        <f t="shared" si="17"/>
        <v>4.728039236541985</v>
      </c>
      <c r="I30" s="322">
        <f t="shared" si="16"/>
        <v>2.4791679706652214</v>
      </c>
      <c r="J30" s="326">
        <f t="shared" si="4"/>
        <v>0.52435435634803373</v>
      </c>
      <c r="K30" s="149">
        <f t="shared" si="10"/>
        <v>7.2072072072072064</v>
      </c>
      <c r="L30" s="298">
        <f t="shared" si="11"/>
        <v>0.63989915189366153</v>
      </c>
      <c r="M30" s="298">
        <f t="shared" si="12"/>
        <v>0.39993696993353844</v>
      </c>
      <c r="N30" s="327">
        <f>M30*$N$10</f>
        <v>5</v>
      </c>
      <c r="O30" s="136">
        <f t="shared" si="5"/>
        <v>0.35999999999999988</v>
      </c>
      <c r="P30" s="134">
        <v>6.8</v>
      </c>
      <c r="Q30" s="134">
        <f t="shared" si="6"/>
        <v>7.4119999999999999</v>
      </c>
      <c r="R30" s="133">
        <f t="shared" si="7"/>
        <v>0.46788990825688059</v>
      </c>
      <c r="S30" s="143">
        <f t="shared" si="8"/>
        <v>7.3394495412844032</v>
      </c>
      <c r="T30" s="361">
        <v>8</v>
      </c>
      <c r="U30" s="355">
        <f t="shared" si="14"/>
        <v>0.2</v>
      </c>
    </row>
    <row r="31" spans="1:27" ht="21.75" thickBot="1">
      <c r="A31" s="144" t="str">
        <f t="shared" si="15"/>
        <v>315-30092025</v>
      </c>
      <c r="B31" s="146" t="s">
        <v>82</v>
      </c>
      <c r="C31" s="138">
        <v>3.61E-2</v>
      </c>
      <c r="D31" s="385">
        <f t="shared" si="0"/>
        <v>4.1623299999999999</v>
      </c>
      <c r="E31" s="322">
        <f t="shared" si="9"/>
        <v>52.037324790100001</v>
      </c>
      <c r="F31" s="322">
        <f t="shared" si="1"/>
        <v>15.61119743703</v>
      </c>
      <c r="G31" s="330">
        <f t="shared" si="2"/>
        <v>29.519489333153697</v>
      </c>
      <c r="H31" s="322">
        <f t="shared" si="17"/>
        <v>7.0920588548129766</v>
      </c>
      <c r="I31" s="322">
        <f t="shared" si="16"/>
        <v>3.7187519559978339</v>
      </c>
      <c r="J31" s="326">
        <f t="shared" si="4"/>
        <v>0.52435435634803407</v>
      </c>
      <c r="K31" s="149">
        <f t="shared" si="10"/>
        <v>10.810810810810811</v>
      </c>
      <c r="L31" s="298">
        <f t="shared" si="11"/>
        <v>0.95984872784049236</v>
      </c>
      <c r="M31" s="298">
        <f t="shared" si="12"/>
        <v>0.59990545490030767</v>
      </c>
      <c r="N31" s="327">
        <f t="shared" si="13"/>
        <v>7.4999999999999991</v>
      </c>
      <c r="O31" s="136">
        <f t="shared" si="5"/>
        <v>0.33333333333333348</v>
      </c>
      <c r="P31" s="134">
        <v>10</v>
      </c>
      <c r="Q31" s="134">
        <f t="shared" si="6"/>
        <v>10.9</v>
      </c>
      <c r="R31" s="133">
        <f t="shared" si="7"/>
        <v>0.46788990825688082</v>
      </c>
      <c r="S31" s="143">
        <f t="shared" si="8"/>
        <v>11.009174311926605</v>
      </c>
      <c r="T31" s="361">
        <v>12</v>
      </c>
      <c r="U31" s="355">
        <f t="shared" si="14"/>
        <v>0.3</v>
      </c>
    </row>
    <row r="32" spans="1:27" ht="21.75" hidden="1" thickBot="1">
      <c r="A32" s="144" t="str">
        <f t="shared" si="15"/>
        <v>315-30092025</v>
      </c>
      <c r="B32" s="146" t="s">
        <v>15</v>
      </c>
      <c r="C32" s="138">
        <v>0</v>
      </c>
      <c r="D32" s="385">
        <f t="shared" si="0"/>
        <v>0</v>
      </c>
      <c r="E32" s="322">
        <f t="shared" si="9"/>
        <v>0</v>
      </c>
      <c r="F32" s="322">
        <f t="shared" si="1"/>
        <v>0</v>
      </c>
      <c r="G32" s="330">
        <f t="shared" si="2"/>
        <v>0</v>
      </c>
      <c r="H32" s="322">
        <f t="shared" si="17"/>
        <v>0</v>
      </c>
      <c r="I32" s="322">
        <f t="shared" si="16"/>
        <v>13.513513513513512</v>
      </c>
      <c r="J32" s="326">
        <f t="shared" si="4"/>
        <v>0</v>
      </c>
      <c r="K32" s="149">
        <f t="shared" si="10"/>
        <v>13.513513513513512</v>
      </c>
      <c r="L32" s="298">
        <f t="shared" si="11"/>
        <v>1.1998109098006153</v>
      </c>
      <c r="M32" s="298">
        <f t="shared" si="12"/>
        <v>0.7498818186253845</v>
      </c>
      <c r="N32" s="327">
        <f t="shared" si="13"/>
        <v>9.3749999999999982</v>
      </c>
      <c r="O32" s="136">
        <f t="shared" si="5"/>
        <v>0.28000000000000025</v>
      </c>
      <c r="P32" s="134">
        <v>12</v>
      </c>
      <c r="Q32" s="134">
        <f t="shared" si="6"/>
        <v>13.080000000000002</v>
      </c>
      <c r="R32" s="133">
        <f t="shared" si="7"/>
        <v>0.46788990825688082</v>
      </c>
      <c r="S32" s="143">
        <f t="shared" si="8"/>
        <v>13.761467889908255</v>
      </c>
      <c r="T32" s="361">
        <v>15</v>
      </c>
      <c r="U32" s="355">
        <f t="shared" si="14"/>
        <v>0.375</v>
      </c>
    </row>
    <row r="33" spans="1:21" ht="21.75" thickBot="1">
      <c r="A33" s="144" t="str">
        <f t="shared" si="15"/>
        <v>315-30092025</v>
      </c>
      <c r="B33" s="146" t="s">
        <v>83</v>
      </c>
      <c r="C33" s="138">
        <v>3.5200000000000002E-2</v>
      </c>
      <c r="D33" s="385">
        <f t="shared" si="0"/>
        <v>4.0585599999999999</v>
      </c>
      <c r="E33" s="322">
        <f t="shared" si="9"/>
        <v>50.739995363200002</v>
      </c>
      <c r="F33" s="322">
        <f t="shared" si="1"/>
        <v>15.22199860896</v>
      </c>
      <c r="G33" s="330">
        <f t="shared" si="2"/>
        <v>28.783546385789755</v>
      </c>
      <c r="H33" s="322">
        <f t="shared" si="17"/>
        <v>7.0920588548129766</v>
      </c>
      <c r="I33" s="322">
        <f t="shared" si="16"/>
        <v>3.7187519559978339</v>
      </c>
      <c r="J33" s="326">
        <f t="shared" si="4"/>
        <v>0.52435435634803407</v>
      </c>
      <c r="K33" s="149">
        <f t="shared" si="10"/>
        <v>10.810810810810811</v>
      </c>
      <c r="L33" s="298">
        <f t="shared" si="11"/>
        <v>0.95984872784049236</v>
      </c>
      <c r="M33" s="298">
        <f t="shared" si="12"/>
        <v>0.59990545490030767</v>
      </c>
      <c r="N33" s="327">
        <f t="shared" si="13"/>
        <v>7.4999999999999991</v>
      </c>
      <c r="O33" s="136">
        <f t="shared" si="5"/>
        <v>0.46666666666666679</v>
      </c>
      <c r="P33" s="134">
        <v>11</v>
      </c>
      <c r="Q33" s="134">
        <f t="shared" si="6"/>
        <v>11.99</v>
      </c>
      <c r="R33" s="133">
        <f t="shared" si="7"/>
        <v>0.46788990825688082</v>
      </c>
      <c r="S33" s="143">
        <f t="shared" si="8"/>
        <v>11.009174311926605</v>
      </c>
      <c r="T33" s="361">
        <v>12</v>
      </c>
      <c r="U33" s="355">
        <f t="shared" si="14"/>
        <v>0.3</v>
      </c>
    </row>
    <row r="34" spans="1:21" ht="21.75" thickBot="1">
      <c r="A34" s="144" t="str">
        <f t="shared" si="15"/>
        <v>315-30092025</v>
      </c>
      <c r="B34" s="146" t="s">
        <v>13</v>
      </c>
      <c r="C34" s="138">
        <v>8.8000000000000005E-3</v>
      </c>
      <c r="D34" s="385">
        <f t="shared" si="0"/>
        <v>1.01464</v>
      </c>
      <c r="E34" s="322">
        <f t="shared" si="9"/>
        <v>12.684998840800001</v>
      </c>
      <c r="F34" s="322">
        <f t="shared" si="1"/>
        <v>3.80549965224</v>
      </c>
      <c r="G34" s="330">
        <f t="shared" si="2"/>
        <v>7.1958865964474388</v>
      </c>
      <c r="H34" s="322">
        <f t="shared" si="17"/>
        <v>7.0920588548129766</v>
      </c>
      <c r="I34" s="322">
        <f t="shared" si="16"/>
        <v>3.7187519559978339</v>
      </c>
      <c r="J34" s="326">
        <f t="shared" si="4"/>
        <v>0.52435435634803407</v>
      </c>
      <c r="K34" s="149">
        <f t="shared" si="10"/>
        <v>10.810810810810811</v>
      </c>
      <c r="L34" s="298">
        <f t="shared" si="11"/>
        <v>0.95984872784049236</v>
      </c>
      <c r="M34" s="298">
        <f t="shared" si="12"/>
        <v>0.59990545490030767</v>
      </c>
      <c r="N34" s="327">
        <f t="shared" si="13"/>
        <v>7.4999999999999991</v>
      </c>
      <c r="O34" s="136">
        <f t="shared" si="5"/>
        <v>0.46666666666666679</v>
      </c>
      <c r="P34" s="134">
        <v>11</v>
      </c>
      <c r="Q34" s="134">
        <f t="shared" si="6"/>
        <v>11.99</v>
      </c>
      <c r="R34" s="133">
        <f t="shared" si="7"/>
        <v>0.46788990825688082</v>
      </c>
      <c r="S34" s="143">
        <f t="shared" si="8"/>
        <v>11.009174311926605</v>
      </c>
      <c r="T34" s="361">
        <v>12</v>
      </c>
      <c r="U34" s="355">
        <f t="shared" si="14"/>
        <v>0.3</v>
      </c>
    </row>
    <row r="35" spans="1:21" ht="21.75" thickBot="1">
      <c r="A35" s="144" t="str">
        <f t="shared" si="15"/>
        <v>315-30092025</v>
      </c>
      <c r="B35" s="139" t="s">
        <v>84</v>
      </c>
      <c r="C35" s="138">
        <v>1.06E-2</v>
      </c>
      <c r="D35" s="385">
        <f t="shared" si="0"/>
        <v>1.22218</v>
      </c>
      <c r="E35" s="322">
        <f t="shared" si="9"/>
        <v>15.279657694600001</v>
      </c>
      <c r="F35" s="322">
        <f t="shared" si="1"/>
        <v>15.279657694600001</v>
      </c>
      <c r="G35" s="330">
        <f t="shared" si="2"/>
        <v>28.892574970584416</v>
      </c>
      <c r="H35" s="322">
        <f t="shared" si="17"/>
        <v>23.640196182709925</v>
      </c>
      <c r="I35" s="322">
        <f t="shared" si="16"/>
        <v>12.395839853326105</v>
      </c>
      <c r="J35" s="326">
        <f t="shared" si="4"/>
        <v>0.52435435634803362</v>
      </c>
      <c r="K35" s="149">
        <f t="shared" si="10"/>
        <v>36.03603603603603</v>
      </c>
      <c r="L35" s="298">
        <f t="shared" si="11"/>
        <v>3.199495759468308</v>
      </c>
      <c r="M35" s="298">
        <f t="shared" si="12"/>
        <v>1.9996848496676924</v>
      </c>
      <c r="N35" s="327">
        <f t="shared" si="13"/>
        <v>25</v>
      </c>
      <c r="O35" s="136">
        <f t="shared" si="5"/>
        <v>0.19999999999999996</v>
      </c>
      <c r="P35" s="134">
        <v>30</v>
      </c>
      <c r="Q35" s="134">
        <f t="shared" si="6"/>
        <v>32.700000000000003</v>
      </c>
      <c r="R35" s="133">
        <f t="shared" si="7"/>
        <v>0.46788990825688082</v>
      </c>
      <c r="S35" s="143">
        <f t="shared" si="8"/>
        <v>36.697247706422019</v>
      </c>
      <c r="T35" s="361">
        <v>40</v>
      </c>
      <c r="U35" s="355">
        <f t="shared" si="14"/>
        <v>1</v>
      </c>
    </row>
    <row r="36" spans="1:21" ht="21.75" hidden="1" thickBot="1">
      <c r="A36" s="144" t="str">
        <f t="shared" si="15"/>
        <v>315-30092025</v>
      </c>
      <c r="B36" s="139" t="s">
        <v>11</v>
      </c>
      <c r="C36" s="138">
        <v>0</v>
      </c>
      <c r="D36" s="385">
        <f t="shared" si="0"/>
        <v>0</v>
      </c>
      <c r="E36" s="322">
        <f t="shared" si="9"/>
        <v>0</v>
      </c>
      <c r="F36" s="322">
        <f t="shared" si="1"/>
        <v>0</v>
      </c>
      <c r="G36" s="330">
        <f t="shared" si="2"/>
        <v>0</v>
      </c>
      <c r="H36" s="322">
        <f t="shared" si="17"/>
        <v>0</v>
      </c>
      <c r="I36" s="322">
        <f t="shared" si="16"/>
        <v>23.423423423423422</v>
      </c>
      <c r="J36" s="326">
        <f t="shared" si="4"/>
        <v>0</v>
      </c>
      <c r="K36" s="149">
        <f t="shared" si="10"/>
        <v>23.423423423423422</v>
      </c>
      <c r="L36" s="298">
        <f t="shared" si="11"/>
        <v>2.0796722436544002</v>
      </c>
      <c r="M36" s="298">
        <f t="shared" si="12"/>
        <v>1.2997951522840001</v>
      </c>
      <c r="N36" s="327">
        <f t="shared" si="13"/>
        <v>16.25</v>
      </c>
      <c r="O36" s="136">
        <f t="shared" si="5"/>
        <v>0.1692307692307693</v>
      </c>
      <c r="P36" s="134">
        <v>19</v>
      </c>
      <c r="Q36" s="134">
        <f t="shared" si="6"/>
        <v>20.71</v>
      </c>
      <c r="R36" s="133">
        <f t="shared" si="7"/>
        <v>0.46788990825688059</v>
      </c>
      <c r="S36" s="143">
        <f t="shared" si="8"/>
        <v>23.853211009174309</v>
      </c>
      <c r="T36" s="361">
        <v>26</v>
      </c>
      <c r="U36" s="355">
        <f t="shared" si="14"/>
        <v>0.65</v>
      </c>
    </row>
    <row r="37" spans="1:21" ht="21.75" hidden="1" thickBot="1">
      <c r="A37" s="144" t="str">
        <f t="shared" si="15"/>
        <v>315-30092025</v>
      </c>
      <c r="B37" s="139" t="s">
        <v>10</v>
      </c>
      <c r="C37" s="138">
        <v>0</v>
      </c>
      <c r="D37" s="385">
        <f t="shared" si="0"/>
        <v>0</v>
      </c>
      <c r="E37" s="322">
        <f t="shared" si="9"/>
        <v>0</v>
      </c>
      <c r="F37" s="322">
        <f t="shared" si="1"/>
        <v>0</v>
      </c>
      <c r="G37" s="330">
        <f t="shared" si="2"/>
        <v>0</v>
      </c>
      <c r="H37" s="322">
        <f t="shared" si="17"/>
        <v>0</v>
      </c>
      <c r="I37" s="322">
        <f t="shared" si="16"/>
        <v>22.072072072072071</v>
      </c>
      <c r="J37" s="326">
        <f t="shared" si="4"/>
        <v>0</v>
      </c>
      <c r="K37" s="149">
        <f t="shared" si="10"/>
        <v>22.072072072072071</v>
      </c>
      <c r="L37" s="298">
        <f t="shared" si="11"/>
        <v>1.9596911526743386</v>
      </c>
      <c r="M37" s="298">
        <f t="shared" si="12"/>
        <v>1.2248069704214615</v>
      </c>
      <c r="N37" s="327">
        <f t="shared" si="13"/>
        <v>15.312499999999998</v>
      </c>
      <c r="O37" s="136">
        <f t="shared" si="5"/>
        <v>0.17551020408163276</v>
      </c>
      <c r="P37" s="134">
        <v>18</v>
      </c>
      <c r="Q37" s="134">
        <f t="shared" si="6"/>
        <v>19.62</v>
      </c>
      <c r="R37" s="133">
        <f t="shared" si="7"/>
        <v>0.46788990825688082</v>
      </c>
      <c r="S37" s="143">
        <f t="shared" si="8"/>
        <v>22.477064220183486</v>
      </c>
      <c r="T37" s="361">
        <v>24.5</v>
      </c>
      <c r="U37" s="355">
        <f t="shared" si="14"/>
        <v>0.61250000000000004</v>
      </c>
    </row>
    <row r="38" spans="1:21" ht="21.75" hidden="1" thickBot="1">
      <c r="A38" s="144" t="str">
        <f t="shared" si="15"/>
        <v>315-30092025</v>
      </c>
      <c r="B38" s="139" t="s">
        <v>9</v>
      </c>
      <c r="C38" s="138">
        <v>0</v>
      </c>
      <c r="D38" s="385">
        <f t="shared" si="0"/>
        <v>0</v>
      </c>
      <c r="E38" s="322">
        <f t="shared" si="9"/>
        <v>0</v>
      </c>
      <c r="F38" s="322">
        <f t="shared" si="1"/>
        <v>0</v>
      </c>
      <c r="G38" s="330">
        <f t="shared" si="2"/>
        <v>0</v>
      </c>
      <c r="H38" s="322">
        <f t="shared" si="17"/>
        <v>0</v>
      </c>
      <c r="I38" s="322">
        <f t="shared" si="16"/>
        <v>22.522522522522522</v>
      </c>
      <c r="J38" s="326">
        <f t="shared" si="4"/>
        <v>0</v>
      </c>
      <c r="K38" s="149">
        <f t="shared" si="10"/>
        <v>22.522522522522522</v>
      </c>
      <c r="L38" s="298">
        <f t="shared" si="11"/>
        <v>1.9996848496676924</v>
      </c>
      <c r="M38" s="298">
        <f t="shared" si="12"/>
        <v>1.2498030310423076</v>
      </c>
      <c r="N38" s="327">
        <f t="shared" si="13"/>
        <v>15.624999999999998</v>
      </c>
      <c r="O38" s="136">
        <f t="shared" si="5"/>
        <v>0.18400000000000016</v>
      </c>
      <c r="P38" s="134">
        <v>18.5</v>
      </c>
      <c r="Q38" s="134">
        <f t="shared" si="6"/>
        <v>20.165000000000003</v>
      </c>
      <c r="R38" s="133">
        <f t="shared" si="7"/>
        <v>0.46788990825688059</v>
      </c>
      <c r="S38" s="143">
        <f t="shared" si="8"/>
        <v>22.935779816513758</v>
      </c>
      <c r="T38" s="361">
        <v>25</v>
      </c>
      <c r="U38" s="355">
        <f t="shared" si="14"/>
        <v>0.625</v>
      </c>
    </row>
    <row r="39" spans="1:21" ht="21.75" thickBot="1">
      <c r="A39" s="144" t="str">
        <f t="shared" si="15"/>
        <v>315-30092025</v>
      </c>
      <c r="B39" s="139" t="s">
        <v>8</v>
      </c>
      <c r="C39" s="138">
        <v>4.41E-2</v>
      </c>
      <c r="D39" s="385">
        <f t="shared" si="0"/>
        <v>5.0847299999999995</v>
      </c>
      <c r="E39" s="322">
        <f t="shared" si="9"/>
        <v>63.569141918099994</v>
      </c>
      <c r="F39" s="322">
        <f t="shared" si="1"/>
        <v>3.1784570959049998</v>
      </c>
      <c r="G39" s="330">
        <f t="shared" si="2"/>
        <v>6.0102007368055306</v>
      </c>
      <c r="H39" s="322">
        <f t="shared" si="17"/>
        <v>1.182009809135496</v>
      </c>
      <c r="I39" s="322">
        <f t="shared" si="16"/>
        <v>0.61979199266630558</v>
      </c>
      <c r="J39" s="326">
        <f t="shared" si="4"/>
        <v>0.52435435634803407</v>
      </c>
      <c r="K39" s="149">
        <f t="shared" si="10"/>
        <v>1.8018018018018016</v>
      </c>
      <c r="L39" s="298">
        <f t="shared" si="11"/>
        <v>0.15997478797341538</v>
      </c>
      <c r="M39" s="298">
        <f t="shared" si="12"/>
        <v>9.9984242483384611E-2</v>
      </c>
      <c r="N39" s="327">
        <f t="shared" si="13"/>
        <v>1.25</v>
      </c>
      <c r="O39" s="136">
        <f>(P39/(N39))-1</f>
        <v>0.43999999999999995</v>
      </c>
      <c r="P39" s="134">
        <v>1.8</v>
      </c>
      <c r="Q39" s="134">
        <f t="shared" si="6"/>
        <v>1.9620000000000002</v>
      </c>
      <c r="R39" s="133">
        <f t="shared" si="7"/>
        <v>0.46788990825688059</v>
      </c>
      <c r="S39" s="143">
        <f t="shared" si="8"/>
        <v>1.8348623853211008</v>
      </c>
      <c r="T39" s="361">
        <v>2</v>
      </c>
      <c r="U39" s="355">
        <f t="shared" si="14"/>
        <v>0.05</v>
      </c>
    </row>
    <row r="40" spans="1:21" ht="21.75" thickBot="1">
      <c r="A40" s="140"/>
      <c r="B40" s="139" t="s">
        <v>7</v>
      </c>
      <c r="C40" s="138">
        <v>2.8E-3</v>
      </c>
      <c r="D40" s="385">
        <f t="shared" si="0"/>
        <v>0.32284000000000002</v>
      </c>
      <c r="E40" s="322">
        <f t="shared" si="9"/>
        <v>4.0361359948000004</v>
      </c>
      <c r="F40" s="322">
        <f t="shared" si="1"/>
        <v>0</v>
      </c>
      <c r="G40" s="330">
        <f t="shared" si="2"/>
        <v>0</v>
      </c>
      <c r="H40" s="322">
        <f t="shared" si="17"/>
        <v>0</v>
      </c>
      <c r="I40" s="322">
        <f t="shared" si="16"/>
        <v>0</v>
      </c>
      <c r="J40" s="326">
        <f t="shared" si="4"/>
        <v>0</v>
      </c>
      <c r="K40" s="326"/>
      <c r="L40" s="298">
        <f t="shared" si="11"/>
        <v>0</v>
      </c>
      <c r="M40" s="298">
        <f t="shared" si="12"/>
        <v>0</v>
      </c>
      <c r="N40" s="327">
        <f t="shared" si="13"/>
        <v>0</v>
      </c>
      <c r="O40" s="136"/>
      <c r="P40" s="135">
        <v>0</v>
      </c>
      <c r="Q40" s="134">
        <f t="shared" si="6"/>
        <v>0</v>
      </c>
      <c r="R40" s="133"/>
      <c r="S40" s="132"/>
      <c r="T40" s="362"/>
      <c r="U40" s="356"/>
    </row>
    <row r="41" spans="1:21" ht="21.75" thickBot="1">
      <c r="A41" s="128"/>
      <c r="B41" s="173" t="s">
        <v>108</v>
      </c>
      <c r="C41" s="267">
        <f>SUM(C13:C40)</f>
        <v>1</v>
      </c>
      <c r="D41" s="126">
        <f>SUM(D13:D40)</f>
        <v>115.29999999999998</v>
      </c>
      <c r="E41" s="363">
        <f>SUM(E13:E40)</f>
        <v>1441.4771410000001</v>
      </c>
      <c r="F41" s="363">
        <f>SUM(F13:F40)</f>
        <v>762.31617678571877</v>
      </c>
      <c r="G41" s="363">
        <f>SUM(G13:G40)</f>
        <v>1441.4771410000001</v>
      </c>
      <c r="H41" s="364">
        <f>SUMPRODUCT(D13:D40,H13:H40)</f>
        <v>1441.4771410000001</v>
      </c>
      <c r="I41" s="364">
        <f t="shared" si="16"/>
        <v>755.84481845945925</v>
      </c>
      <c r="J41" s="365">
        <f t="shared" si="4"/>
        <v>0.52435435634803396</v>
      </c>
      <c r="K41" s="364">
        <f>T41/1.11</f>
        <v>2197.3219594594593</v>
      </c>
      <c r="L41" s="366">
        <f>T41/$N$10</f>
        <v>195.09144358849045</v>
      </c>
      <c r="M41" s="366">
        <f t="shared" si="12"/>
        <v>121.93215224280652</v>
      </c>
      <c r="N41" s="367">
        <f>SUMPRODUCT(D13:D40,N13:N40)</f>
        <v>1524.3921093749996</v>
      </c>
      <c r="O41" s="125"/>
      <c r="P41" s="124">
        <f>SUMPRODUCT($D$13:$D$40,$P$13:$P$40)</f>
        <v>2035.6641609999999</v>
      </c>
      <c r="Q41" s="124">
        <f>SUMPRODUCT($D$13:$D$40,$Q$13:$Q$40)</f>
        <v>2218.8739354899999</v>
      </c>
      <c r="R41" s="123"/>
      <c r="S41" s="122">
        <f>SUMPRODUCT(D13:D40,S13:S40)</f>
        <v>2237.639793577981</v>
      </c>
      <c r="T41" s="368">
        <f>SUMPRODUCT(D13:D40,T13:T40)</f>
        <v>2439.0273750000001</v>
      </c>
      <c r="U41" s="357"/>
    </row>
    <row r="42" spans="1:21">
      <c r="A42" s="65"/>
      <c r="B42" s="65" t="s">
        <v>6</v>
      </c>
      <c r="C42" s="114" t="s">
        <v>5</v>
      </c>
      <c r="D42" s="119"/>
      <c r="E42" s="119"/>
      <c r="F42" s="331">
        <f>E41/F41</f>
        <v>1.8909176859894818</v>
      </c>
      <c r="H42" s="119"/>
      <c r="I42" s="119"/>
      <c r="J42" s="119"/>
      <c r="K42" s="119"/>
      <c r="L42" s="358">
        <f t="shared" si="11"/>
        <v>0</v>
      </c>
      <c r="M42" s="358">
        <f t="shared" si="12"/>
        <v>0</v>
      </c>
      <c r="N42" s="359">
        <f t="shared" si="13"/>
        <v>0</v>
      </c>
      <c r="O42" s="118"/>
      <c r="P42" s="118"/>
      <c r="Q42" s="118"/>
      <c r="R42" s="49"/>
      <c r="S42" s="65"/>
      <c r="T42" s="332"/>
    </row>
    <row r="43" spans="1:21">
      <c r="B43" s="56" t="s">
        <v>4</v>
      </c>
      <c r="C43" s="32"/>
      <c r="D43" s="40"/>
      <c r="E43" s="40"/>
      <c r="F43" s="40"/>
      <c r="G43" s="40"/>
      <c r="H43" s="40"/>
      <c r="I43" s="40"/>
      <c r="J43" s="40"/>
      <c r="K43" s="40"/>
      <c r="L43" s="299"/>
      <c r="M43" s="299"/>
      <c r="N43" s="9"/>
      <c r="O43" s="40"/>
      <c r="P43" s="40">
        <f>P41-N41</f>
        <v>511.27205162500036</v>
      </c>
      <c r="Q43" s="40"/>
      <c r="R43" s="116">
        <f>P43/$D$10</f>
        <v>4.4342762500000035</v>
      </c>
      <c r="S43" s="40">
        <f>(S41)-(N41)</f>
        <v>713.24768420298142</v>
      </c>
      <c r="T43" s="116">
        <f>I41/D41</f>
        <v>6.5554624324324315</v>
      </c>
      <c r="U43" s="44"/>
    </row>
    <row r="44" spans="1:21">
      <c r="B44" s="56" t="s">
        <v>3</v>
      </c>
      <c r="C44" s="32"/>
      <c r="D44" s="61"/>
      <c r="E44" s="61"/>
      <c r="F44" s="61"/>
      <c r="G44" s="61"/>
      <c r="H44" s="61"/>
      <c r="I44" s="61"/>
      <c r="J44" s="61"/>
      <c r="K44" s="61"/>
      <c r="L44" s="300"/>
      <c r="M44" s="300"/>
      <c r="N44" s="32"/>
      <c r="O44" s="61"/>
      <c r="P44" s="61">
        <f>P41/N41-1</f>
        <v>0.33539405542752498</v>
      </c>
      <c r="Q44" s="61"/>
      <c r="R44" s="59"/>
      <c r="S44" s="61">
        <f>(S41)/(N41)-1</f>
        <v>0.46788990825688082</v>
      </c>
      <c r="T44" s="61">
        <f>J41</f>
        <v>0.52435435634803396</v>
      </c>
      <c r="U44" s="44"/>
    </row>
    <row r="45" spans="1:21">
      <c r="B45" s="56" t="s">
        <v>2</v>
      </c>
      <c r="C45" s="117"/>
      <c r="D45" s="45"/>
      <c r="E45" s="45"/>
      <c r="F45" s="45"/>
      <c r="G45" s="45"/>
      <c r="H45" s="45"/>
      <c r="I45" s="45"/>
      <c r="J45" s="45"/>
      <c r="K45" s="45"/>
      <c r="L45" s="301"/>
      <c r="M45" s="301"/>
      <c r="N45" s="32"/>
      <c r="O45" s="117">
        <f>[1]KOLTSEGEK!B27</f>
        <v>7.9729729729729728</v>
      </c>
      <c r="P45" s="45">
        <f>D10*O45</f>
        <v>919.28378378378375</v>
      </c>
      <c r="Q45" s="45"/>
      <c r="R45" s="117">
        <f>[1]KOLTSEGEK!B37</f>
        <v>0.52100000000000002</v>
      </c>
      <c r="S45" s="59">
        <f>(R45+O45)*D10</f>
        <v>979.3550837837837</v>
      </c>
      <c r="T45" s="116">
        <v>5</v>
      </c>
      <c r="U45" s="44"/>
    </row>
    <row r="46" spans="1:21">
      <c r="B46" s="56" t="s">
        <v>1</v>
      </c>
      <c r="C46" s="32"/>
      <c r="D46" s="40"/>
      <c r="E46" s="40"/>
      <c r="F46" s="40"/>
      <c r="G46" s="40"/>
      <c r="H46" s="40"/>
      <c r="I46" s="40"/>
      <c r="J46" s="40"/>
      <c r="K46" s="40"/>
      <c r="L46" s="299"/>
      <c r="M46" s="299"/>
      <c r="N46" s="32"/>
      <c r="O46" s="71"/>
      <c r="P46" s="40">
        <f>P43-P45</f>
        <v>-408.01173215878339</v>
      </c>
      <c r="Q46" s="40"/>
      <c r="R46" s="116">
        <f>P46/$D$10</f>
        <v>-3.5386967229729698</v>
      </c>
      <c r="S46" s="40">
        <f>S43-S45</f>
        <v>-266.10739958080228</v>
      </c>
      <c r="T46" s="116">
        <f>T43-T45</f>
        <v>1.5554624324324315</v>
      </c>
      <c r="U46" s="44"/>
    </row>
    <row r="47" spans="1:21">
      <c r="B47" s="56" t="s">
        <v>0</v>
      </c>
      <c r="C47" s="32"/>
      <c r="D47" s="35"/>
      <c r="E47" s="35"/>
      <c r="F47" s="35"/>
      <c r="G47" s="35"/>
      <c r="H47" s="35"/>
      <c r="I47" s="35"/>
      <c r="J47" s="35"/>
      <c r="K47" s="35"/>
      <c r="L47" s="302"/>
      <c r="M47" s="302"/>
      <c r="N47" s="32"/>
      <c r="O47" s="59"/>
      <c r="P47" s="35">
        <f>P46/N41</f>
        <v>-0.26765536875290447</v>
      </c>
      <c r="Q47" s="35"/>
      <c r="R47" s="59"/>
      <c r="S47" s="35">
        <f>S46/(N41)</f>
        <v>-0.17456624049956954</v>
      </c>
      <c r="T47" s="61">
        <f>T46/T43</f>
        <v>0.23727730094782509</v>
      </c>
      <c r="U47" s="39"/>
    </row>
    <row r="48" spans="1:21">
      <c r="A48" s="65"/>
      <c r="B48" s="24"/>
      <c r="C48" s="16"/>
      <c r="D48" s="115"/>
      <c r="E48" s="115"/>
      <c r="F48" s="115"/>
      <c r="G48" s="115"/>
      <c r="H48" s="115"/>
      <c r="I48" s="115"/>
      <c r="J48" s="115"/>
      <c r="K48" s="115"/>
      <c r="L48" s="303"/>
      <c r="M48" s="303"/>
      <c r="N48" s="24"/>
      <c r="O48" s="47"/>
      <c r="P48" s="47"/>
      <c r="Q48" s="47"/>
      <c r="R48" s="47"/>
      <c r="S48" s="25"/>
    </row>
    <row r="49" spans="1:41">
      <c r="A49" s="586"/>
      <c r="B49" s="460"/>
      <c r="C49" s="461"/>
      <c r="D49" s="586"/>
      <c r="E49" s="462"/>
      <c r="F49" s="462"/>
      <c r="G49" s="462"/>
      <c r="H49" s="462"/>
      <c r="I49" s="462"/>
      <c r="J49" s="462"/>
      <c r="K49" s="462"/>
      <c r="L49" s="463"/>
      <c r="M49" s="463"/>
      <c r="N49" s="606"/>
      <c r="O49" s="606"/>
      <c r="P49" s="606"/>
      <c r="Q49" s="588"/>
      <c r="R49" s="430"/>
      <c r="S49" s="587"/>
      <c r="T49" s="464"/>
      <c r="U49" s="464"/>
      <c r="V49" s="587"/>
      <c r="W49" s="587"/>
      <c r="X49" s="587"/>
      <c r="Y49" s="586"/>
    </row>
    <row r="50" spans="1:41">
      <c r="A50" s="283"/>
      <c r="B50" s="433"/>
      <c r="C50" s="284"/>
      <c r="D50" s="284"/>
      <c r="E50" s="284"/>
      <c r="F50" s="284"/>
      <c r="G50" s="284"/>
      <c r="H50" s="284"/>
      <c r="I50" s="284"/>
      <c r="J50" s="284"/>
      <c r="K50" s="284"/>
      <c r="L50" s="465"/>
      <c r="M50" s="465"/>
      <c r="N50" s="284"/>
      <c r="O50" s="284"/>
      <c r="P50" s="284"/>
      <c r="Q50" s="284"/>
      <c r="R50" s="284"/>
      <c r="S50" s="284"/>
      <c r="T50" s="284"/>
      <c r="U50" s="284"/>
      <c r="V50" s="587"/>
      <c r="W50" s="587"/>
      <c r="X50" s="587"/>
      <c r="Y50" s="586"/>
    </row>
    <row r="51" spans="1:41">
      <c r="A51" s="466"/>
      <c r="B51" s="467"/>
      <c r="C51" s="283"/>
      <c r="D51" s="283"/>
      <c r="E51" s="283"/>
      <c r="F51" s="283"/>
      <c r="G51" s="283"/>
      <c r="H51" s="283"/>
      <c r="I51" s="283"/>
      <c r="J51" s="283"/>
      <c r="K51" s="283"/>
      <c r="L51" s="468"/>
      <c r="M51" s="468"/>
      <c r="N51" s="283"/>
      <c r="O51" s="283"/>
      <c r="P51" s="283"/>
      <c r="Q51" s="283"/>
      <c r="R51" s="283"/>
      <c r="S51" s="283"/>
      <c r="T51" s="283"/>
      <c r="U51" s="283"/>
      <c r="V51" s="587"/>
      <c r="W51" s="587"/>
      <c r="X51" s="587"/>
      <c r="Y51" s="586"/>
    </row>
    <row r="52" spans="1:41">
      <c r="A52" s="434"/>
      <c r="B52" s="469"/>
      <c r="C52" s="462"/>
      <c r="D52" s="433"/>
      <c r="E52" s="433"/>
      <c r="F52" s="433"/>
      <c r="G52" s="433"/>
      <c r="H52" s="433"/>
      <c r="I52" s="433"/>
      <c r="J52" s="433"/>
      <c r="K52" s="433"/>
      <c r="L52" s="470"/>
      <c r="M52" s="470"/>
      <c r="N52" s="283"/>
      <c r="O52" s="283"/>
      <c r="P52" s="284"/>
      <c r="Q52" s="284"/>
      <c r="R52" s="284"/>
      <c r="S52" s="283"/>
      <c r="T52" s="284"/>
      <c r="U52" s="587"/>
      <c r="V52" s="587"/>
      <c r="W52" s="587"/>
      <c r="X52" s="587"/>
      <c r="Y52" s="586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>
      <c r="A53" s="471"/>
      <c r="B53" s="472"/>
      <c r="C53" s="473"/>
      <c r="D53" s="474"/>
      <c r="E53" s="473"/>
      <c r="F53" s="473"/>
      <c r="G53" s="473"/>
      <c r="H53" s="473"/>
      <c r="I53" s="473"/>
      <c r="J53" s="433"/>
      <c r="K53" s="433"/>
      <c r="L53" s="470"/>
      <c r="M53" s="470"/>
      <c r="N53" s="284"/>
      <c r="O53" s="283"/>
      <c r="P53" s="284"/>
      <c r="Q53" s="284"/>
      <c r="R53" s="284"/>
      <c r="S53" s="283"/>
      <c r="T53" s="284"/>
      <c r="U53" s="587"/>
      <c r="V53" s="587"/>
      <c r="W53" s="587"/>
      <c r="X53" s="587"/>
      <c r="Y53" s="475"/>
      <c r="Z53" s="199"/>
      <c r="AA53" s="199"/>
      <c r="AB53" s="104"/>
      <c r="AC53" s="104"/>
      <c r="AD53" s="104"/>
      <c r="AE53" s="104"/>
      <c r="AF53" s="104"/>
      <c r="AG53" s="104"/>
    </row>
    <row r="54" spans="1:41">
      <c r="A54" s="477"/>
      <c r="B54" s="474"/>
      <c r="C54" s="478"/>
      <c r="D54" s="478"/>
      <c r="E54" s="478"/>
      <c r="F54" s="478"/>
      <c r="G54" s="478"/>
      <c r="H54" s="478"/>
      <c r="I54" s="479"/>
      <c r="J54" s="284"/>
      <c r="K54" s="284"/>
      <c r="L54" s="465"/>
      <c r="M54" s="465"/>
      <c r="N54" s="284"/>
      <c r="O54" s="283"/>
      <c r="P54" s="480"/>
      <c r="Q54" s="480"/>
      <c r="R54" s="284"/>
      <c r="S54" s="283"/>
      <c r="T54" s="446"/>
      <c r="U54" s="587"/>
      <c r="V54" s="587"/>
      <c r="W54" s="587"/>
      <c r="X54" s="587"/>
      <c r="Y54" s="586"/>
      <c r="AE54" s="97"/>
      <c r="AJ54" s="97"/>
    </row>
    <row r="55" spans="1:41">
      <c r="A55" s="481"/>
      <c r="B55" s="436"/>
      <c r="C55" s="482"/>
      <c r="D55" s="587"/>
      <c r="E55" s="483"/>
      <c r="F55" s="483"/>
      <c r="G55" s="483"/>
      <c r="H55" s="483"/>
      <c r="I55" s="483"/>
      <c r="J55" s="483"/>
      <c r="K55" s="483"/>
      <c r="L55" s="484"/>
      <c r="M55" s="484"/>
      <c r="N55" s="485"/>
      <c r="O55" s="436"/>
      <c r="P55" s="451"/>
      <c r="Q55" s="451"/>
      <c r="R55" s="436"/>
      <c r="S55" s="436"/>
      <c r="T55" s="587"/>
      <c r="U55" s="588"/>
      <c r="V55" s="587"/>
      <c r="W55" s="587"/>
      <c r="X55" s="587"/>
      <c r="Y55" s="586"/>
    </row>
    <row r="56" spans="1:41" ht="62.25" customHeight="1">
      <c r="A56" s="437"/>
      <c r="B56" s="486"/>
      <c r="C56" s="437"/>
      <c r="D56" s="487"/>
      <c r="E56" s="487"/>
      <c r="F56" s="487"/>
      <c r="G56" s="487"/>
      <c r="H56" s="487"/>
      <c r="I56" s="487"/>
      <c r="J56" s="487"/>
      <c r="K56" s="450"/>
      <c r="L56" s="488"/>
      <c r="M56" s="488"/>
      <c r="N56" s="489"/>
      <c r="O56" s="490"/>
      <c r="P56" s="450"/>
      <c r="Q56" s="450"/>
      <c r="R56" s="490"/>
      <c r="S56" s="491"/>
      <c r="T56" s="492"/>
      <c r="U56" s="450"/>
      <c r="V56" s="587"/>
      <c r="W56" s="587"/>
      <c r="X56" s="587"/>
      <c r="Y56" s="586"/>
    </row>
    <row r="57" spans="1:41">
      <c r="A57" s="426"/>
      <c r="B57" s="493"/>
      <c r="C57" s="467"/>
      <c r="D57" s="494"/>
      <c r="E57" s="454"/>
      <c r="F57" s="454"/>
      <c r="G57" s="454"/>
      <c r="H57" s="454"/>
      <c r="I57" s="454"/>
      <c r="J57" s="454"/>
      <c r="K57" s="454"/>
      <c r="L57" s="495"/>
      <c r="M57" s="495"/>
      <c r="N57" s="496"/>
      <c r="O57" s="497"/>
      <c r="P57" s="498"/>
      <c r="Q57" s="498"/>
      <c r="R57" s="445"/>
      <c r="S57" s="499"/>
      <c r="T57" s="500"/>
      <c r="U57" s="500"/>
      <c r="V57" s="587"/>
      <c r="W57" s="587"/>
      <c r="X57" s="587"/>
      <c r="Y57" s="586"/>
    </row>
    <row r="58" spans="1:41">
      <c r="A58" s="439"/>
      <c r="B58" s="440"/>
      <c r="C58" s="482"/>
      <c r="D58" s="501"/>
      <c r="E58" s="501"/>
      <c r="F58" s="501"/>
      <c r="G58" s="501"/>
      <c r="H58" s="501"/>
      <c r="I58" s="501"/>
      <c r="J58" s="501"/>
      <c r="K58" s="501"/>
      <c r="L58" s="502"/>
      <c r="M58" s="502"/>
      <c r="N58" s="503"/>
      <c r="O58" s="504"/>
      <c r="P58" s="505"/>
      <c r="Q58" s="505"/>
      <c r="R58" s="506"/>
      <c r="S58" s="507"/>
      <c r="T58" s="508"/>
      <c r="U58" s="508"/>
      <c r="V58" s="587"/>
      <c r="W58" s="587"/>
      <c r="X58" s="587"/>
      <c r="Y58" s="586"/>
    </row>
    <row r="59" spans="1:41" ht="18" customHeight="1">
      <c r="A59" s="437"/>
      <c r="B59" s="437"/>
      <c r="C59" s="437"/>
      <c r="D59" s="437"/>
      <c r="E59" s="509"/>
      <c r="F59" s="437"/>
      <c r="G59" s="510"/>
      <c r="H59" s="437"/>
      <c r="I59" s="437"/>
      <c r="J59" s="437"/>
      <c r="K59" s="587"/>
      <c r="L59" s="511"/>
      <c r="M59" s="511"/>
      <c r="N59" s="512"/>
      <c r="O59" s="490"/>
      <c r="P59" s="450"/>
      <c r="Q59" s="491"/>
      <c r="R59" s="490"/>
      <c r="S59" s="491"/>
      <c r="T59" s="450"/>
      <c r="U59" s="450"/>
      <c r="V59" s="587"/>
      <c r="W59" s="513"/>
      <c r="X59" s="514"/>
      <c r="Y59" s="586"/>
    </row>
    <row r="60" spans="1:41">
      <c r="A60" s="426"/>
      <c r="B60" s="431"/>
      <c r="C60" s="442"/>
      <c r="D60" s="515"/>
      <c r="E60" s="516"/>
      <c r="F60" s="516"/>
      <c r="G60" s="517"/>
      <c r="H60" s="516"/>
      <c r="I60" s="516"/>
      <c r="J60" s="518"/>
      <c r="K60" s="451"/>
      <c r="L60" s="519"/>
      <c r="M60" s="519"/>
      <c r="N60" s="520"/>
      <c r="O60" s="497"/>
      <c r="P60" s="521"/>
      <c r="Q60" s="521"/>
      <c r="R60" s="445"/>
      <c r="S60" s="499"/>
      <c r="T60" s="451"/>
      <c r="U60" s="500"/>
      <c r="V60" s="522"/>
      <c r="W60" s="513"/>
      <c r="X60" s="514"/>
      <c r="Y60" s="586"/>
    </row>
    <row r="61" spans="1:41">
      <c r="A61" s="426"/>
      <c r="B61" s="431"/>
      <c r="C61" s="442"/>
      <c r="D61" s="515"/>
      <c r="E61" s="516"/>
      <c r="F61" s="516"/>
      <c r="G61" s="517"/>
      <c r="H61" s="516"/>
      <c r="I61" s="516"/>
      <c r="J61" s="518"/>
      <c r="K61" s="451"/>
      <c r="L61" s="519"/>
      <c r="M61" s="519"/>
      <c r="N61" s="520"/>
      <c r="O61" s="497"/>
      <c r="P61" s="521"/>
      <c r="Q61" s="521"/>
      <c r="R61" s="445"/>
      <c r="S61" s="499"/>
      <c r="T61" s="451"/>
      <c r="U61" s="500"/>
      <c r="V61" s="522"/>
      <c r="W61" s="513"/>
      <c r="X61" s="514"/>
      <c r="Y61" s="586"/>
    </row>
    <row r="62" spans="1:41" hidden="1">
      <c r="A62" s="426"/>
      <c r="B62" s="432"/>
      <c r="C62" s="442"/>
      <c r="D62" s="515"/>
      <c r="E62" s="516"/>
      <c r="F62" s="516"/>
      <c r="G62" s="517"/>
      <c r="H62" s="516"/>
      <c r="I62" s="516"/>
      <c r="J62" s="518"/>
      <c r="K62" s="451"/>
      <c r="L62" s="519"/>
      <c r="M62" s="519"/>
      <c r="N62" s="520"/>
      <c r="O62" s="497"/>
      <c r="P62" s="521"/>
      <c r="Q62" s="521"/>
      <c r="R62" s="445"/>
      <c r="S62" s="499"/>
      <c r="T62" s="451"/>
      <c r="U62" s="500"/>
      <c r="V62" s="587"/>
      <c r="W62" s="513"/>
      <c r="X62" s="514"/>
      <c r="Y62" s="586"/>
    </row>
    <row r="63" spans="1:41">
      <c r="A63" s="426"/>
      <c r="B63" s="432"/>
      <c r="C63" s="442"/>
      <c r="D63" s="515"/>
      <c r="E63" s="516"/>
      <c r="F63" s="516"/>
      <c r="G63" s="517"/>
      <c r="H63" s="516"/>
      <c r="I63" s="516"/>
      <c r="J63" s="518"/>
      <c r="K63" s="451"/>
      <c r="L63" s="519"/>
      <c r="M63" s="519"/>
      <c r="N63" s="520"/>
      <c r="O63" s="497"/>
      <c r="P63" s="521"/>
      <c r="Q63" s="521"/>
      <c r="R63" s="445"/>
      <c r="S63" s="499"/>
      <c r="T63" s="451"/>
      <c r="U63" s="500"/>
      <c r="V63" s="587"/>
      <c r="W63" s="513"/>
      <c r="X63" s="523"/>
      <c r="Y63" s="586"/>
    </row>
    <row r="64" spans="1:41">
      <c r="A64" s="426"/>
      <c r="B64" s="432"/>
      <c r="C64" s="442"/>
      <c r="D64" s="515"/>
      <c r="E64" s="516"/>
      <c r="F64" s="516"/>
      <c r="G64" s="517"/>
      <c r="H64" s="516"/>
      <c r="I64" s="516"/>
      <c r="J64" s="518"/>
      <c r="K64" s="451"/>
      <c r="L64" s="519"/>
      <c r="M64" s="519"/>
      <c r="N64" s="520"/>
      <c r="O64" s="497"/>
      <c r="P64" s="521"/>
      <c r="Q64" s="521"/>
      <c r="R64" s="445"/>
      <c r="S64" s="499"/>
      <c r="T64" s="451"/>
      <c r="U64" s="500"/>
      <c r="V64" s="587"/>
      <c r="W64" s="283"/>
      <c r="X64" s="283"/>
      <c r="Y64" s="586"/>
    </row>
    <row r="65" spans="1:25">
      <c r="A65" s="426"/>
      <c r="B65" s="432"/>
      <c r="C65" s="442"/>
      <c r="D65" s="515"/>
      <c r="E65" s="516"/>
      <c r="F65" s="516"/>
      <c r="G65" s="517"/>
      <c r="H65" s="516"/>
      <c r="I65" s="516"/>
      <c r="J65" s="518"/>
      <c r="K65" s="451"/>
      <c r="L65" s="519"/>
      <c r="M65" s="519"/>
      <c r="N65" s="520"/>
      <c r="O65" s="497"/>
      <c r="P65" s="521"/>
      <c r="Q65" s="521"/>
      <c r="R65" s="445"/>
      <c r="S65" s="499"/>
      <c r="T65" s="451"/>
      <c r="U65" s="500"/>
      <c r="V65" s="587"/>
      <c r="W65" s="587"/>
      <c r="X65" s="587"/>
      <c r="Y65" s="586"/>
    </row>
    <row r="66" spans="1:25">
      <c r="A66" s="426"/>
      <c r="B66" s="432"/>
      <c r="C66" s="442"/>
      <c r="D66" s="515"/>
      <c r="E66" s="516"/>
      <c r="F66" s="516"/>
      <c r="G66" s="517"/>
      <c r="H66" s="516"/>
      <c r="I66" s="516"/>
      <c r="J66" s="518"/>
      <c r="K66" s="451"/>
      <c r="L66" s="519"/>
      <c r="M66" s="519"/>
      <c r="N66" s="520"/>
      <c r="O66" s="497"/>
      <c r="P66" s="521"/>
      <c r="Q66" s="521"/>
      <c r="R66" s="445"/>
      <c r="S66" s="499"/>
      <c r="T66" s="451"/>
      <c r="U66" s="500"/>
      <c r="V66" s="587"/>
      <c r="W66" s="587"/>
      <c r="X66" s="587"/>
      <c r="Y66" s="586"/>
    </row>
    <row r="67" spans="1:25" hidden="1">
      <c r="A67" s="426"/>
      <c r="B67" s="432"/>
      <c r="C67" s="442"/>
      <c r="D67" s="515"/>
      <c r="E67" s="516"/>
      <c r="F67" s="516"/>
      <c r="G67" s="517"/>
      <c r="H67" s="516"/>
      <c r="I67" s="516"/>
      <c r="J67" s="518"/>
      <c r="K67" s="451"/>
      <c r="L67" s="519"/>
      <c r="M67" s="519"/>
      <c r="N67" s="520"/>
      <c r="O67" s="497"/>
      <c r="P67" s="521"/>
      <c r="Q67" s="521"/>
      <c r="R67" s="445"/>
      <c r="S67" s="499"/>
      <c r="T67" s="451"/>
      <c r="U67" s="500"/>
      <c r="V67" s="587"/>
      <c r="W67" s="587"/>
      <c r="X67" s="587"/>
      <c r="Y67" s="586"/>
    </row>
    <row r="68" spans="1:25" hidden="1">
      <c r="A68" s="426"/>
      <c r="B68" s="432"/>
      <c r="C68" s="442"/>
      <c r="D68" s="515"/>
      <c r="E68" s="516"/>
      <c r="F68" s="516"/>
      <c r="G68" s="517"/>
      <c r="H68" s="516"/>
      <c r="I68" s="516"/>
      <c r="J68" s="518"/>
      <c r="K68" s="451"/>
      <c r="L68" s="519"/>
      <c r="M68" s="519"/>
      <c r="N68" s="520"/>
      <c r="O68" s="497"/>
      <c r="P68" s="521"/>
      <c r="Q68" s="521"/>
      <c r="R68" s="445"/>
      <c r="S68" s="499"/>
      <c r="T68" s="451"/>
      <c r="U68" s="500"/>
      <c r="V68" s="587"/>
      <c r="W68" s="587"/>
      <c r="X68" s="587"/>
      <c r="Y68" s="586"/>
    </row>
    <row r="69" spans="1:25">
      <c r="A69" s="426"/>
      <c r="B69" s="432"/>
      <c r="C69" s="442"/>
      <c r="D69" s="515"/>
      <c r="E69" s="516"/>
      <c r="F69" s="516"/>
      <c r="G69" s="517"/>
      <c r="H69" s="516"/>
      <c r="I69" s="516"/>
      <c r="J69" s="518"/>
      <c r="K69" s="451"/>
      <c r="L69" s="519"/>
      <c r="M69" s="519"/>
      <c r="N69" s="520"/>
      <c r="O69" s="497"/>
      <c r="P69" s="521"/>
      <c r="Q69" s="521"/>
      <c r="R69" s="445"/>
      <c r="S69" s="499"/>
      <c r="T69" s="451"/>
      <c r="U69" s="500"/>
      <c r="V69" s="587"/>
      <c r="W69" s="587"/>
      <c r="X69" s="587"/>
      <c r="Y69" s="586"/>
    </row>
    <row r="70" spans="1:25">
      <c r="A70" s="426"/>
      <c r="B70" s="432"/>
      <c r="C70" s="442"/>
      <c r="D70" s="515"/>
      <c r="E70" s="516"/>
      <c r="F70" s="516"/>
      <c r="G70" s="517"/>
      <c r="H70" s="516"/>
      <c r="I70" s="516"/>
      <c r="J70" s="518"/>
      <c r="K70" s="451"/>
      <c r="L70" s="519"/>
      <c r="M70" s="519"/>
      <c r="N70" s="520"/>
      <c r="O70" s="497"/>
      <c r="P70" s="521"/>
      <c r="Q70" s="521"/>
      <c r="R70" s="445"/>
      <c r="S70" s="499"/>
      <c r="T70" s="451"/>
      <c r="U70" s="500"/>
      <c r="V70" s="587"/>
      <c r="W70" s="587"/>
      <c r="X70" s="587"/>
      <c r="Y70" s="586"/>
    </row>
    <row r="71" spans="1:25" hidden="1">
      <c r="A71" s="426"/>
      <c r="B71" s="432"/>
      <c r="C71" s="442"/>
      <c r="D71" s="515"/>
      <c r="E71" s="516"/>
      <c r="F71" s="516"/>
      <c r="G71" s="517"/>
      <c r="H71" s="516"/>
      <c r="I71" s="516"/>
      <c r="J71" s="518"/>
      <c r="K71" s="451"/>
      <c r="L71" s="519"/>
      <c r="M71" s="519"/>
      <c r="N71" s="520"/>
      <c r="O71" s="497"/>
      <c r="P71" s="521"/>
      <c r="Q71" s="521"/>
      <c r="R71" s="445"/>
      <c r="S71" s="499"/>
      <c r="T71" s="451"/>
      <c r="U71" s="500"/>
      <c r="V71" s="587"/>
      <c r="W71" s="587"/>
      <c r="X71" s="587"/>
      <c r="Y71" s="586"/>
    </row>
    <row r="72" spans="1:25">
      <c r="A72" s="426"/>
      <c r="B72" s="432"/>
      <c r="C72" s="442"/>
      <c r="D72" s="515"/>
      <c r="E72" s="516"/>
      <c r="F72" s="516"/>
      <c r="G72" s="517"/>
      <c r="H72" s="516"/>
      <c r="I72" s="516"/>
      <c r="J72" s="518"/>
      <c r="K72" s="451"/>
      <c r="L72" s="519"/>
      <c r="M72" s="519"/>
      <c r="N72" s="520"/>
      <c r="O72" s="497"/>
      <c r="P72" s="521"/>
      <c r="Q72" s="521"/>
      <c r="R72" s="445"/>
      <c r="S72" s="499"/>
      <c r="T72" s="451"/>
      <c r="U72" s="500"/>
      <c r="V72" s="587"/>
      <c r="W72" s="587"/>
      <c r="X72" s="587"/>
      <c r="Y72" s="586"/>
    </row>
    <row r="73" spans="1:25" hidden="1">
      <c r="A73" s="426"/>
      <c r="B73" s="432"/>
      <c r="C73" s="442"/>
      <c r="D73" s="515"/>
      <c r="E73" s="516"/>
      <c r="F73" s="516"/>
      <c r="G73" s="517"/>
      <c r="H73" s="516"/>
      <c r="I73" s="516"/>
      <c r="J73" s="518"/>
      <c r="K73" s="451"/>
      <c r="L73" s="519"/>
      <c r="M73" s="519"/>
      <c r="N73" s="520"/>
      <c r="O73" s="497"/>
      <c r="P73" s="521"/>
      <c r="Q73" s="521"/>
      <c r="R73" s="445"/>
      <c r="S73" s="499"/>
      <c r="T73" s="451"/>
      <c r="U73" s="500"/>
      <c r="V73" s="587"/>
      <c r="W73" s="587"/>
      <c r="X73" s="587"/>
      <c r="Y73" s="586"/>
    </row>
    <row r="74" spans="1:25" hidden="1">
      <c r="A74" s="426"/>
      <c r="B74" s="432"/>
      <c r="C74" s="442"/>
      <c r="D74" s="515"/>
      <c r="E74" s="516"/>
      <c r="F74" s="516"/>
      <c r="G74" s="517"/>
      <c r="H74" s="516"/>
      <c r="I74" s="516"/>
      <c r="J74" s="518"/>
      <c r="K74" s="451"/>
      <c r="L74" s="519"/>
      <c r="M74" s="519"/>
      <c r="N74" s="520"/>
      <c r="O74" s="497"/>
      <c r="P74" s="521"/>
      <c r="Q74" s="521"/>
      <c r="R74" s="445"/>
      <c r="S74" s="499"/>
      <c r="T74" s="451"/>
      <c r="U74" s="500"/>
      <c r="V74" s="587"/>
      <c r="W74" s="587"/>
      <c r="X74" s="587"/>
      <c r="Y74" s="586"/>
    </row>
    <row r="75" spans="1:25">
      <c r="A75" s="426"/>
      <c r="B75" s="432"/>
      <c r="C75" s="442"/>
      <c r="D75" s="515"/>
      <c r="E75" s="516"/>
      <c r="F75" s="516"/>
      <c r="G75" s="517"/>
      <c r="H75" s="516"/>
      <c r="I75" s="516"/>
      <c r="J75" s="518"/>
      <c r="K75" s="451"/>
      <c r="L75" s="519"/>
      <c r="M75" s="519"/>
      <c r="N75" s="520"/>
      <c r="O75" s="497"/>
      <c r="P75" s="521"/>
      <c r="Q75" s="521"/>
      <c r="R75" s="445"/>
      <c r="S75" s="499"/>
      <c r="T75" s="451"/>
      <c r="U75" s="500"/>
      <c r="V75" s="587"/>
      <c r="W75" s="587"/>
      <c r="X75" s="587"/>
      <c r="Y75" s="586"/>
    </row>
    <row r="76" spans="1:25" hidden="1">
      <c r="A76" s="426"/>
      <c r="B76" s="432"/>
      <c r="C76" s="442"/>
      <c r="D76" s="515"/>
      <c r="E76" s="516"/>
      <c r="F76" s="516"/>
      <c r="G76" s="517"/>
      <c r="H76" s="516"/>
      <c r="I76" s="516"/>
      <c r="J76" s="518"/>
      <c r="K76" s="451"/>
      <c r="L76" s="519"/>
      <c r="M76" s="519"/>
      <c r="N76" s="520"/>
      <c r="O76" s="497"/>
      <c r="P76" s="521"/>
      <c r="Q76" s="521"/>
      <c r="R76" s="445"/>
      <c r="S76" s="499"/>
      <c r="T76" s="451"/>
      <c r="U76" s="500"/>
      <c r="V76" s="587"/>
      <c r="W76" s="587"/>
      <c r="X76" s="587"/>
      <c r="Y76" s="586"/>
    </row>
    <row r="77" spans="1:25">
      <c r="A77" s="426"/>
      <c r="B77" s="438"/>
      <c r="C77" s="442"/>
      <c r="D77" s="515"/>
      <c r="E77" s="516"/>
      <c r="F77" s="516"/>
      <c r="G77" s="517"/>
      <c r="H77" s="516"/>
      <c r="I77" s="516"/>
      <c r="J77" s="518"/>
      <c r="K77" s="451"/>
      <c r="L77" s="519"/>
      <c r="M77" s="519"/>
      <c r="N77" s="520"/>
      <c r="O77" s="497"/>
      <c r="P77" s="521"/>
      <c r="Q77" s="521"/>
      <c r="R77" s="445"/>
      <c r="S77" s="499"/>
      <c r="T77" s="451"/>
      <c r="U77" s="500"/>
      <c r="V77" s="587"/>
      <c r="W77" s="587"/>
      <c r="X77" s="587"/>
      <c r="Y77" s="586"/>
    </row>
    <row r="78" spans="1:25">
      <c r="A78" s="426"/>
      <c r="B78" s="438"/>
      <c r="C78" s="442"/>
      <c r="D78" s="515"/>
      <c r="E78" s="516"/>
      <c r="F78" s="516"/>
      <c r="G78" s="517"/>
      <c r="H78" s="516"/>
      <c r="I78" s="516"/>
      <c r="J78" s="518"/>
      <c r="K78" s="451"/>
      <c r="L78" s="519"/>
      <c r="M78" s="519"/>
      <c r="N78" s="520"/>
      <c r="O78" s="497"/>
      <c r="P78" s="521"/>
      <c r="Q78" s="521"/>
      <c r="R78" s="445"/>
      <c r="S78" s="499"/>
      <c r="T78" s="451"/>
      <c r="U78" s="500"/>
      <c r="V78" s="587"/>
      <c r="W78" s="587"/>
      <c r="X78" s="587"/>
      <c r="Y78" s="586"/>
    </row>
    <row r="79" spans="1:25" hidden="1">
      <c r="A79" s="426"/>
      <c r="B79" s="438"/>
      <c r="C79" s="442"/>
      <c r="D79" s="515"/>
      <c r="E79" s="516"/>
      <c r="F79" s="516"/>
      <c r="G79" s="517"/>
      <c r="H79" s="516"/>
      <c r="I79" s="516"/>
      <c r="J79" s="518"/>
      <c r="K79" s="451"/>
      <c r="L79" s="519"/>
      <c r="M79" s="519"/>
      <c r="N79" s="520"/>
      <c r="O79" s="497"/>
      <c r="P79" s="521"/>
      <c r="Q79" s="521"/>
      <c r="R79" s="445"/>
      <c r="S79" s="499"/>
      <c r="T79" s="451"/>
      <c r="U79" s="500"/>
      <c r="V79" s="587"/>
      <c r="W79" s="587"/>
      <c r="X79" s="587"/>
      <c r="Y79" s="586"/>
    </row>
    <row r="80" spans="1:25">
      <c r="A80" s="426"/>
      <c r="B80" s="438"/>
      <c r="C80" s="442"/>
      <c r="D80" s="515"/>
      <c r="E80" s="516"/>
      <c r="F80" s="516"/>
      <c r="G80" s="517"/>
      <c r="H80" s="516"/>
      <c r="I80" s="516"/>
      <c r="J80" s="518"/>
      <c r="K80" s="451"/>
      <c r="L80" s="519"/>
      <c r="M80" s="519"/>
      <c r="N80" s="520"/>
      <c r="O80" s="497"/>
      <c r="P80" s="521"/>
      <c r="Q80" s="521"/>
      <c r="R80" s="445"/>
      <c r="S80" s="499"/>
      <c r="T80" s="451"/>
      <c r="U80" s="500"/>
      <c r="V80" s="587"/>
      <c r="W80" s="587"/>
      <c r="X80" s="587"/>
      <c r="Y80" s="586"/>
    </row>
    <row r="81" spans="1:25">
      <c r="A81" s="426"/>
      <c r="B81" s="438"/>
      <c r="C81" s="442"/>
      <c r="D81" s="515"/>
      <c r="E81" s="516"/>
      <c r="F81" s="516"/>
      <c r="G81" s="517"/>
      <c r="H81" s="516"/>
      <c r="I81" s="516"/>
      <c r="J81" s="518"/>
      <c r="K81" s="451"/>
      <c r="L81" s="519"/>
      <c r="M81" s="519"/>
      <c r="N81" s="520"/>
      <c r="O81" s="497"/>
      <c r="P81" s="521"/>
      <c r="Q81" s="521"/>
      <c r="R81" s="445"/>
      <c r="S81" s="499"/>
      <c r="T81" s="451"/>
      <c r="U81" s="500"/>
      <c r="V81" s="587"/>
      <c r="W81" s="587"/>
      <c r="X81" s="587"/>
      <c r="Y81" s="586"/>
    </row>
    <row r="82" spans="1:25">
      <c r="A82" s="426"/>
      <c r="B82" s="432"/>
      <c r="C82" s="442"/>
      <c r="D82" s="515"/>
      <c r="E82" s="516"/>
      <c r="F82" s="516"/>
      <c r="G82" s="517"/>
      <c r="H82" s="516"/>
      <c r="I82" s="516"/>
      <c r="J82" s="518"/>
      <c r="K82" s="451"/>
      <c r="L82" s="519"/>
      <c r="M82" s="519"/>
      <c r="N82" s="520"/>
      <c r="O82" s="497"/>
      <c r="P82" s="521"/>
      <c r="Q82" s="521"/>
      <c r="R82" s="445"/>
      <c r="S82" s="499"/>
      <c r="T82" s="451"/>
      <c r="U82" s="500"/>
      <c r="V82" s="587"/>
      <c r="W82" s="587"/>
      <c r="X82" s="587"/>
      <c r="Y82" s="586"/>
    </row>
    <row r="83" spans="1:25" hidden="1">
      <c r="A83" s="426"/>
      <c r="B83" s="432"/>
      <c r="C83" s="442"/>
      <c r="D83" s="515"/>
      <c r="E83" s="516"/>
      <c r="F83" s="516"/>
      <c r="G83" s="517"/>
      <c r="H83" s="516"/>
      <c r="I83" s="516"/>
      <c r="J83" s="518"/>
      <c r="K83" s="451"/>
      <c r="L83" s="519"/>
      <c r="M83" s="519"/>
      <c r="N83" s="520"/>
      <c r="O83" s="497"/>
      <c r="P83" s="521"/>
      <c r="Q83" s="521"/>
      <c r="R83" s="445"/>
      <c r="S83" s="499"/>
      <c r="T83" s="451"/>
      <c r="U83" s="500"/>
      <c r="V83" s="587"/>
      <c r="W83" s="587"/>
      <c r="X83" s="587"/>
      <c r="Y83" s="586"/>
    </row>
    <row r="84" spans="1:25" hidden="1">
      <c r="A84" s="426"/>
      <c r="B84" s="432"/>
      <c r="C84" s="442"/>
      <c r="D84" s="515"/>
      <c r="E84" s="516"/>
      <c r="F84" s="516"/>
      <c r="G84" s="517"/>
      <c r="H84" s="516"/>
      <c r="I84" s="516"/>
      <c r="J84" s="518"/>
      <c r="K84" s="451"/>
      <c r="L84" s="519"/>
      <c r="M84" s="519"/>
      <c r="N84" s="520"/>
      <c r="O84" s="497"/>
      <c r="P84" s="521"/>
      <c r="Q84" s="521"/>
      <c r="R84" s="445"/>
      <c r="S84" s="499"/>
      <c r="T84" s="451"/>
      <c r="U84" s="500"/>
      <c r="V84" s="587"/>
      <c r="W84" s="587"/>
      <c r="X84" s="587"/>
      <c r="Y84" s="586"/>
    </row>
    <row r="85" spans="1:25" hidden="1">
      <c r="A85" s="426"/>
      <c r="B85" s="432"/>
      <c r="C85" s="442"/>
      <c r="D85" s="515"/>
      <c r="E85" s="516"/>
      <c r="F85" s="516"/>
      <c r="G85" s="517"/>
      <c r="H85" s="516"/>
      <c r="I85" s="516"/>
      <c r="J85" s="518"/>
      <c r="K85" s="451"/>
      <c r="L85" s="519"/>
      <c r="M85" s="519"/>
      <c r="N85" s="520"/>
      <c r="O85" s="497"/>
      <c r="P85" s="521"/>
      <c r="Q85" s="521"/>
      <c r="R85" s="445"/>
      <c r="S85" s="499"/>
      <c r="T85" s="451"/>
      <c r="U85" s="500"/>
      <c r="V85" s="587"/>
      <c r="W85" s="587"/>
      <c r="X85" s="587"/>
      <c r="Y85" s="586"/>
    </row>
    <row r="86" spans="1:25">
      <c r="A86" s="426"/>
      <c r="B86" s="432"/>
      <c r="C86" s="442"/>
      <c r="D86" s="515"/>
      <c r="E86" s="516"/>
      <c r="F86" s="516"/>
      <c r="G86" s="517"/>
      <c r="H86" s="516"/>
      <c r="I86" s="516"/>
      <c r="J86" s="518"/>
      <c r="K86" s="451"/>
      <c r="L86" s="519"/>
      <c r="M86" s="519"/>
      <c r="N86" s="520"/>
      <c r="O86" s="497"/>
      <c r="P86" s="521"/>
      <c r="Q86" s="521"/>
      <c r="R86" s="445"/>
      <c r="S86" s="499"/>
      <c r="T86" s="451"/>
      <c r="U86" s="500"/>
      <c r="V86" s="587"/>
      <c r="W86" s="587"/>
      <c r="X86" s="587"/>
      <c r="Y86" s="586"/>
    </row>
    <row r="87" spans="1:25">
      <c r="A87" s="524"/>
      <c r="B87" s="432"/>
      <c r="C87" s="442"/>
      <c r="D87" s="515"/>
      <c r="E87" s="516"/>
      <c r="F87" s="516"/>
      <c r="G87" s="517"/>
      <c r="H87" s="516"/>
      <c r="I87" s="516"/>
      <c r="J87" s="518"/>
      <c r="K87" s="518"/>
      <c r="L87" s="519"/>
      <c r="M87" s="519"/>
      <c r="N87" s="520"/>
      <c r="O87" s="497"/>
      <c r="P87" s="451"/>
      <c r="Q87" s="521"/>
      <c r="R87" s="445"/>
      <c r="S87" s="525"/>
      <c r="T87" s="526"/>
      <c r="U87" s="527"/>
      <c r="V87" s="587"/>
      <c r="W87" s="587"/>
      <c r="X87" s="587"/>
      <c r="Y87" s="586"/>
    </row>
    <row r="88" spans="1:25">
      <c r="A88" s="524"/>
      <c r="B88" s="501"/>
      <c r="C88" s="528"/>
      <c r="D88" s="475"/>
      <c r="E88" s="529"/>
      <c r="F88" s="529"/>
      <c r="G88" s="529"/>
      <c r="H88" s="475"/>
      <c r="I88" s="475"/>
      <c r="J88" s="530"/>
      <c r="K88" s="475"/>
      <c r="L88" s="519"/>
      <c r="M88" s="519"/>
      <c r="N88" s="521"/>
      <c r="O88" s="531"/>
      <c r="P88" s="451"/>
      <c r="Q88" s="451"/>
      <c r="R88" s="445"/>
      <c r="S88" s="532"/>
      <c r="T88" s="526"/>
      <c r="U88" s="283"/>
      <c r="V88" s="587"/>
      <c r="W88" s="587"/>
      <c r="X88" s="587"/>
      <c r="Y88" s="586"/>
    </row>
    <row r="89" spans="1:25">
      <c r="A89" s="524"/>
      <c r="B89" s="524"/>
      <c r="C89" s="533"/>
      <c r="D89" s="475"/>
      <c r="E89" s="475"/>
      <c r="F89" s="534"/>
      <c r="G89" s="587"/>
      <c r="H89" s="475"/>
      <c r="I89" s="475"/>
      <c r="J89" s="475"/>
      <c r="K89" s="475"/>
      <c r="L89" s="519"/>
      <c r="M89" s="519"/>
      <c r="N89" s="521"/>
      <c r="O89" s="532"/>
      <c r="P89" s="532"/>
      <c r="Q89" s="532"/>
      <c r="R89" s="444"/>
      <c r="S89" s="524"/>
      <c r="T89" s="535"/>
      <c r="U89" s="587"/>
      <c r="V89" s="587"/>
      <c r="W89" s="587"/>
      <c r="X89" s="587"/>
      <c r="Y89" s="586"/>
    </row>
    <row r="90" spans="1:25">
      <c r="A90" s="587"/>
      <c r="B90" s="443"/>
      <c r="C90" s="283"/>
      <c r="D90" s="536"/>
      <c r="E90" s="536"/>
      <c r="F90" s="536"/>
      <c r="G90" s="536"/>
      <c r="H90" s="536"/>
      <c r="I90" s="536"/>
      <c r="J90" s="536"/>
      <c r="K90" s="536"/>
      <c r="L90" s="537"/>
      <c r="M90" s="537"/>
      <c r="N90" s="451"/>
      <c r="O90" s="536"/>
      <c r="P90" s="536"/>
      <c r="Q90" s="536"/>
      <c r="R90" s="538"/>
      <c r="S90" s="536"/>
      <c r="T90" s="538"/>
      <c r="U90" s="539"/>
      <c r="V90" s="587"/>
      <c r="W90" s="587"/>
      <c r="X90" s="587"/>
      <c r="Y90" s="586"/>
    </row>
    <row r="91" spans="1:25">
      <c r="A91" s="587"/>
      <c r="B91" s="443"/>
      <c r="C91" s="283"/>
      <c r="D91" s="540"/>
      <c r="E91" s="540"/>
      <c r="F91" s="540"/>
      <c r="G91" s="540"/>
      <c r="H91" s="540"/>
      <c r="I91" s="540"/>
      <c r="J91" s="540"/>
      <c r="K91" s="540"/>
      <c r="L91" s="541"/>
      <c r="M91" s="541"/>
      <c r="N91" s="283"/>
      <c r="O91" s="540"/>
      <c r="P91" s="540"/>
      <c r="Q91" s="540"/>
      <c r="R91" s="478"/>
      <c r="S91" s="540"/>
      <c r="T91" s="540"/>
      <c r="U91" s="539"/>
      <c r="V91" s="587"/>
      <c r="W91" s="587"/>
      <c r="X91" s="587"/>
      <c r="Y91" s="586"/>
    </row>
    <row r="92" spans="1:25">
      <c r="A92" s="587"/>
      <c r="B92" s="443"/>
      <c r="C92" s="542"/>
      <c r="D92" s="543"/>
      <c r="E92" s="543"/>
      <c r="F92" s="543"/>
      <c r="G92" s="543"/>
      <c r="H92" s="543"/>
      <c r="I92" s="543"/>
      <c r="J92" s="543"/>
      <c r="K92" s="543"/>
      <c r="L92" s="544"/>
      <c r="M92" s="544"/>
      <c r="N92" s="283"/>
      <c r="O92" s="542"/>
      <c r="P92" s="543"/>
      <c r="Q92" s="543"/>
      <c r="R92" s="542"/>
      <c r="S92" s="478"/>
      <c r="T92" s="538"/>
      <c r="U92" s="539"/>
      <c r="V92" s="587"/>
      <c r="W92" s="587"/>
      <c r="X92" s="587"/>
      <c r="Y92" s="586"/>
    </row>
    <row r="93" spans="1:25">
      <c r="A93" s="587"/>
      <c r="B93" s="443"/>
      <c r="C93" s="283"/>
      <c r="D93" s="536"/>
      <c r="E93" s="536"/>
      <c r="F93" s="536"/>
      <c r="G93" s="536"/>
      <c r="H93" s="536"/>
      <c r="I93" s="536"/>
      <c r="J93" s="536"/>
      <c r="K93" s="536"/>
      <c r="L93" s="537"/>
      <c r="M93" s="537"/>
      <c r="N93" s="283"/>
      <c r="O93" s="469"/>
      <c r="P93" s="536"/>
      <c r="Q93" s="536"/>
      <c r="R93" s="538"/>
      <c r="S93" s="536"/>
      <c r="T93" s="538"/>
      <c r="U93" s="539"/>
      <c r="V93" s="587"/>
      <c r="W93" s="587"/>
      <c r="X93" s="587"/>
      <c r="Y93" s="586"/>
    </row>
    <row r="94" spans="1:25">
      <c r="A94" s="587"/>
      <c r="B94" s="443"/>
      <c r="C94" s="283"/>
      <c r="D94" s="545"/>
      <c r="E94" s="545"/>
      <c r="F94" s="545"/>
      <c r="G94" s="545"/>
      <c r="H94" s="545"/>
      <c r="I94" s="545"/>
      <c r="J94" s="545"/>
      <c r="K94" s="545"/>
      <c r="L94" s="546"/>
      <c r="M94" s="546"/>
      <c r="N94" s="283"/>
      <c r="O94" s="478"/>
      <c r="P94" s="545"/>
      <c r="Q94" s="545"/>
      <c r="R94" s="478"/>
      <c r="S94" s="545"/>
      <c r="T94" s="540"/>
      <c r="U94" s="547"/>
      <c r="V94" s="587"/>
      <c r="W94" s="587"/>
      <c r="X94" s="587"/>
      <c r="Y94" s="586"/>
    </row>
    <row r="95" spans="1:25">
      <c r="A95" s="441"/>
      <c r="B95" s="438"/>
      <c r="C95" s="442"/>
      <c r="D95" s="548"/>
      <c r="E95" s="548"/>
      <c r="F95" s="548"/>
      <c r="G95" s="548"/>
      <c r="H95" s="548"/>
      <c r="I95" s="548"/>
      <c r="J95" s="548"/>
      <c r="K95" s="548"/>
      <c r="L95" s="549"/>
      <c r="M95" s="549"/>
      <c r="N95" s="442"/>
      <c r="O95" s="550"/>
      <c r="P95" s="551"/>
      <c r="Q95" s="551"/>
      <c r="R95" s="552"/>
      <c r="S95" s="553"/>
      <c r="T95" s="587"/>
      <c r="U95" s="283"/>
      <c r="V95" s="587"/>
      <c r="W95" s="587"/>
      <c r="X95" s="587"/>
      <c r="Y95" s="586"/>
    </row>
    <row r="96" spans="1:25">
      <c r="A96" s="441"/>
      <c r="B96" s="438"/>
      <c r="C96" s="442"/>
      <c r="D96" s="554"/>
      <c r="E96" s="554"/>
      <c r="F96" s="554"/>
      <c r="G96" s="554"/>
      <c r="H96" s="554"/>
      <c r="I96" s="554"/>
      <c r="J96" s="554"/>
      <c r="K96" s="554"/>
      <c r="L96" s="555"/>
      <c r="M96" s="555"/>
      <c r="N96" s="442"/>
      <c r="O96" s="552"/>
      <c r="P96" s="551"/>
      <c r="Q96" s="551"/>
      <c r="R96" s="552"/>
      <c r="S96" s="553"/>
      <c r="T96" s="587"/>
      <c r="U96" s="587"/>
      <c r="V96" s="587"/>
      <c r="W96" s="587"/>
      <c r="X96" s="587"/>
      <c r="Y96" s="586"/>
    </row>
    <row r="97" spans="1:25">
      <c r="A97" s="441"/>
      <c r="B97" s="432"/>
      <c r="C97" s="442"/>
      <c r="D97" s="548"/>
      <c r="E97" s="548"/>
      <c r="F97" s="548"/>
      <c r="G97" s="548"/>
      <c r="H97" s="548"/>
      <c r="I97" s="548"/>
      <c r="J97" s="548"/>
      <c r="K97" s="548"/>
      <c r="L97" s="549"/>
      <c r="M97" s="549"/>
      <c r="N97" s="442"/>
      <c r="O97" s="556"/>
      <c r="P97" s="557"/>
      <c r="Q97" s="557"/>
      <c r="R97" s="556"/>
      <c r="S97" s="553"/>
      <c r="T97" s="558"/>
      <c r="U97" s="539"/>
      <c r="V97" s="587"/>
      <c r="W97" s="587"/>
      <c r="X97" s="587"/>
      <c r="Y97" s="586"/>
    </row>
    <row r="98" spans="1:25">
      <c r="A98" s="441"/>
      <c r="B98" s="432"/>
      <c r="C98" s="442"/>
      <c r="D98" s="62"/>
      <c r="E98" s="62"/>
      <c r="F98" s="62"/>
      <c r="G98" s="62"/>
      <c r="H98" s="62"/>
      <c r="I98" s="62"/>
      <c r="J98" s="62"/>
      <c r="K98" s="62"/>
      <c r="L98" s="315"/>
      <c r="M98" s="315"/>
      <c r="N98" s="55"/>
      <c r="O98" s="51"/>
      <c r="P98" s="51"/>
      <c r="Q98" s="51"/>
      <c r="R98" s="51"/>
      <c r="S98" s="50"/>
      <c r="T98" s="61"/>
      <c r="U98" s="44"/>
    </row>
    <row r="99" spans="1:25">
      <c r="A99" s="441"/>
      <c r="B99" s="432"/>
      <c r="C99" s="442"/>
      <c r="D99" s="62"/>
      <c r="E99" s="62"/>
      <c r="F99" s="62"/>
      <c r="G99" s="62"/>
      <c r="H99" s="62"/>
      <c r="I99" s="62"/>
      <c r="J99" s="62"/>
      <c r="K99" s="62"/>
      <c r="L99" s="315"/>
      <c r="M99" s="315"/>
      <c r="N99" s="55"/>
      <c r="O99" s="51"/>
      <c r="P99" s="51"/>
      <c r="Q99" s="51"/>
      <c r="R99" s="51"/>
      <c r="S99" s="50"/>
      <c r="T99" s="61"/>
      <c r="U99" s="44"/>
    </row>
    <row r="100" spans="1:25">
      <c r="A100" s="441"/>
      <c r="B100" s="432"/>
      <c r="C100" s="442"/>
      <c r="D100" s="54"/>
      <c r="E100" s="54"/>
      <c r="F100" s="54"/>
      <c r="G100" s="54"/>
      <c r="H100" s="54"/>
      <c r="I100" s="54"/>
      <c r="J100" s="54"/>
      <c r="K100" s="54"/>
      <c r="L100" s="316"/>
      <c r="M100" s="316"/>
      <c r="N100" s="55"/>
      <c r="O100" s="51"/>
      <c r="P100" s="60"/>
      <c r="Q100" s="60"/>
      <c r="R100" s="51"/>
      <c r="S100" s="50"/>
      <c r="T100" s="59"/>
      <c r="U100" s="44"/>
    </row>
    <row r="101" spans="1:25">
      <c r="A101" s="441"/>
      <c r="B101" s="432"/>
      <c r="C101" s="442"/>
      <c r="D101" s="57"/>
      <c r="E101" s="57"/>
      <c r="F101" s="57"/>
      <c r="G101" s="57"/>
      <c r="H101" s="57"/>
      <c r="I101" s="57"/>
      <c r="J101" s="57"/>
      <c r="K101" s="57"/>
      <c r="L101" s="317"/>
      <c r="M101" s="317"/>
      <c r="N101" s="55"/>
      <c r="O101" s="51"/>
      <c r="P101" s="52"/>
      <c r="Q101" s="52"/>
      <c r="R101" s="51"/>
      <c r="S101" s="50"/>
      <c r="T101" s="40"/>
      <c r="U101" s="44"/>
    </row>
    <row r="102" spans="1:25">
      <c r="A102" s="435"/>
      <c r="B102" s="443"/>
      <c r="C102" s="442"/>
      <c r="D102" s="54"/>
      <c r="E102" s="54"/>
      <c r="F102" s="54"/>
      <c r="G102" s="54"/>
      <c r="H102" s="54"/>
      <c r="I102" s="54"/>
      <c r="J102" s="54"/>
      <c r="K102" s="54"/>
      <c r="L102" s="316"/>
      <c r="M102" s="316"/>
      <c r="N102" s="53"/>
      <c r="O102" s="51"/>
      <c r="P102" s="52"/>
      <c r="Q102" s="52"/>
      <c r="R102" s="51"/>
      <c r="S102" s="50"/>
      <c r="T102" s="35"/>
      <c r="U102" s="39"/>
    </row>
    <row r="103" spans="1:25">
      <c r="A103" s="444"/>
      <c r="B103" s="436"/>
      <c r="C103" s="445"/>
      <c r="D103" s="48"/>
      <c r="E103" s="48"/>
      <c r="F103" s="48"/>
      <c r="G103" s="48"/>
      <c r="H103" s="48"/>
      <c r="I103" s="48"/>
      <c r="J103" s="48"/>
      <c r="K103" s="48"/>
      <c r="L103" s="318"/>
      <c r="M103" s="318"/>
      <c r="N103" s="24"/>
      <c r="O103" s="47"/>
      <c r="P103" s="47"/>
      <c r="Q103" s="47"/>
      <c r="R103" s="47"/>
      <c r="S103" s="25"/>
    </row>
    <row r="104" spans="1:25">
      <c r="A104" s="446"/>
      <c r="B104" s="284"/>
      <c r="C104" s="447"/>
      <c r="D104" s="601"/>
      <c r="E104" s="601"/>
      <c r="F104" s="601"/>
      <c r="G104" s="601"/>
      <c r="H104" s="601"/>
      <c r="I104" s="601"/>
      <c r="J104" s="601"/>
      <c r="K104" s="601"/>
      <c r="L104" s="601"/>
      <c r="M104" s="601"/>
      <c r="N104" s="601"/>
      <c r="O104" s="601"/>
      <c r="P104" s="45"/>
      <c r="Q104" s="45"/>
      <c r="R104" s="31"/>
      <c r="S104" s="45"/>
      <c r="T104" s="40"/>
      <c r="U104" s="44"/>
    </row>
    <row r="105" spans="1:25">
      <c r="A105" s="446"/>
      <c r="B105" s="448"/>
      <c r="C105" s="284"/>
      <c r="D105" s="601"/>
      <c r="E105" s="601"/>
      <c r="F105" s="601"/>
      <c r="G105" s="601"/>
      <c r="H105" s="601"/>
      <c r="I105" s="601"/>
      <c r="J105" s="601"/>
      <c r="K105" s="601"/>
      <c r="L105" s="601"/>
      <c r="M105" s="601"/>
      <c r="N105" s="601"/>
      <c r="O105" s="601"/>
      <c r="P105" s="40"/>
      <c r="Q105" s="40"/>
      <c r="R105" s="31"/>
      <c r="S105" s="40"/>
      <c r="T105" s="35"/>
      <c r="U105" s="39"/>
    </row>
    <row r="106" spans="1:25">
      <c r="A106" s="587"/>
      <c r="B106" s="449"/>
      <c r="C106" s="450"/>
      <c r="D106" s="601"/>
      <c r="E106" s="601"/>
      <c r="F106" s="601"/>
      <c r="G106" s="601"/>
      <c r="H106" s="601"/>
      <c r="I106" s="601"/>
      <c r="J106" s="601"/>
      <c r="K106" s="601"/>
      <c r="L106" s="601"/>
      <c r="M106" s="601"/>
      <c r="N106" s="601"/>
      <c r="O106" s="601"/>
      <c r="P106" s="35"/>
      <c r="Q106" s="35"/>
      <c r="S106" s="35"/>
    </row>
    <row r="107" spans="1:25">
      <c r="A107" s="446"/>
      <c r="B107" s="431"/>
      <c r="C107" s="451"/>
      <c r="D107" s="31"/>
      <c r="E107" s="31"/>
      <c r="F107" s="31"/>
      <c r="G107" s="31"/>
      <c r="H107" s="31"/>
      <c r="I107" s="31"/>
      <c r="J107" s="31"/>
      <c r="K107" s="31"/>
      <c r="L107" s="289"/>
      <c r="M107" s="289"/>
      <c r="N107" s="596"/>
      <c r="O107" s="596"/>
      <c r="P107" s="32"/>
      <c r="Q107" s="32"/>
      <c r="R107" s="32"/>
    </row>
    <row r="108" spans="1:25">
      <c r="A108" s="587"/>
      <c r="B108" s="432"/>
      <c r="C108" s="451"/>
      <c r="D108" s="31"/>
      <c r="E108" s="31"/>
      <c r="F108" s="31"/>
      <c r="G108" s="31"/>
      <c r="H108" s="31"/>
      <c r="I108" s="31"/>
      <c r="J108" s="31"/>
      <c r="K108" s="31"/>
      <c r="L108" s="289"/>
      <c r="M108" s="289"/>
      <c r="N108" s="32"/>
      <c r="O108" s="32"/>
      <c r="P108" s="32"/>
      <c r="Q108" s="32"/>
      <c r="R108" s="32"/>
    </row>
    <row r="109" spans="1:25">
      <c r="A109" s="587"/>
      <c r="B109" s="432"/>
      <c r="C109" s="451"/>
      <c r="D109" s="31"/>
      <c r="E109" s="31"/>
      <c r="F109" s="31"/>
      <c r="G109" s="31"/>
      <c r="H109" s="31"/>
      <c r="I109" s="31"/>
      <c r="J109" s="31"/>
      <c r="K109" s="31"/>
      <c r="L109" s="289"/>
      <c r="M109" s="289"/>
      <c r="O109" s="32"/>
      <c r="P109" s="32"/>
      <c r="Q109" s="32"/>
      <c r="R109" s="32"/>
    </row>
    <row r="110" spans="1:25">
      <c r="A110" s="452"/>
      <c r="B110" s="432"/>
      <c r="C110" s="451"/>
      <c r="D110" s="31"/>
      <c r="E110" s="31"/>
      <c r="F110" s="31"/>
      <c r="G110" s="31"/>
      <c r="H110" s="31"/>
      <c r="I110" s="31"/>
      <c r="J110" s="31"/>
      <c r="K110" s="31"/>
      <c r="L110" s="289"/>
      <c r="M110" s="289"/>
      <c r="N110" s="31"/>
      <c r="P110" s="29"/>
      <c r="Q110" s="29"/>
      <c r="R110" s="29"/>
      <c r="S110" s="30"/>
    </row>
    <row r="111" spans="1:25">
      <c r="A111" s="587"/>
      <c r="B111" s="432"/>
      <c r="C111" s="451"/>
      <c r="D111" s="29"/>
      <c r="E111" s="29"/>
      <c r="F111" s="29"/>
      <c r="G111" s="29"/>
      <c r="H111" s="29"/>
      <c r="I111" s="29"/>
      <c r="J111" s="29"/>
      <c r="K111" s="29"/>
      <c r="L111" s="319"/>
      <c r="M111" s="319"/>
      <c r="N111" s="29"/>
      <c r="O111" s="29"/>
      <c r="P111" s="26"/>
      <c r="Q111" s="26"/>
      <c r="R111" s="26"/>
      <c r="S111" s="28"/>
    </row>
    <row r="112" spans="1:25">
      <c r="A112" s="436"/>
      <c r="B112" s="432"/>
      <c r="C112" s="451"/>
      <c r="D112" s="27"/>
      <c r="E112" s="27"/>
      <c r="F112" s="27"/>
      <c r="G112" s="27"/>
      <c r="H112" s="27"/>
      <c r="I112" s="27"/>
      <c r="J112" s="27"/>
      <c r="K112" s="27"/>
      <c r="L112" s="320"/>
      <c r="M112" s="320"/>
      <c r="N112" s="26"/>
      <c r="O112" s="26"/>
      <c r="P112" s="24"/>
      <c r="Q112" s="24"/>
      <c r="R112" s="24"/>
      <c r="S112" s="24"/>
    </row>
    <row r="113" spans="1:19">
      <c r="A113" s="452"/>
      <c r="B113" s="432"/>
      <c r="C113" s="451"/>
      <c r="D113" s="24"/>
      <c r="E113" s="24"/>
      <c r="F113" s="24"/>
      <c r="G113" s="24"/>
      <c r="H113" s="24"/>
      <c r="I113" s="24"/>
      <c r="J113" s="24"/>
      <c r="K113" s="24"/>
      <c r="L113" s="321"/>
      <c r="M113" s="321"/>
      <c r="N113" s="24"/>
      <c r="O113" s="24"/>
      <c r="P113" s="29"/>
      <c r="Q113" s="29"/>
      <c r="R113" s="29"/>
      <c r="S113" s="30"/>
    </row>
    <row r="114" spans="1:19">
      <c r="A114" s="453"/>
      <c r="B114" s="432"/>
      <c r="C114" s="451"/>
      <c r="D114" s="29"/>
      <c r="E114" s="29"/>
      <c r="F114" s="29"/>
      <c r="G114" s="29"/>
      <c r="H114" s="29"/>
      <c r="I114" s="29"/>
      <c r="J114" s="29"/>
      <c r="K114" s="29"/>
      <c r="L114" s="319"/>
      <c r="M114" s="319"/>
      <c r="N114" s="29"/>
      <c r="O114" s="29"/>
      <c r="P114" s="26"/>
      <c r="Q114" s="26"/>
      <c r="R114" s="26"/>
      <c r="S114" s="28"/>
    </row>
    <row r="115" spans="1:19">
      <c r="A115" s="436"/>
      <c r="B115" s="432"/>
      <c r="C115" s="451"/>
      <c r="D115" s="27"/>
      <c r="E115" s="27"/>
      <c r="F115" s="27"/>
      <c r="G115" s="27"/>
      <c r="H115" s="27"/>
      <c r="I115" s="27"/>
      <c r="J115" s="27"/>
      <c r="K115" s="27"/>
      <c r="L115" s="320"/>
      <c r="M115" s="320"/>
      <c r="N115" s="26"/>
      <c r="O115" s="26"/>
      <c r="P115" s="25"/>
      <c r="Q115" s="25"/>
      <c r="R115" s="24"/>
      <c r="S115" s="24"/>
    </row>
    <row r="116" spans="1:19">
      <c r="A116" s="437"/>
      <c r="B116" s="432"/>
      <c r="C116" s="451"/>
      <c r="D116" s="24"/>
      <c r="E116" s="24"/>
      <c r="F116" s="24"/>
      <c r="G116" s="24"/>
      <c r="H116" s="24"/>
      <c r="I116" s="24"/>
      <c r="J116" s="24"/>
      <c r="K116" s="24"/>
      <c r="L116" s="321"/>
      <c r="M116" s="321"/>
      <c r="N116" s="25"/>
      <c r="O116" s="24"/>
      <c r="P116" s="23"/>
      <c r="Q116" s="23"/>
      <c r="R116" s="22"/>
      <c r="S116" s="21"/>
    </row>
    <row r="117" spans="1:19">
      <c r="A117" s="454"/>
      <c r="B117" s="438"/>
      <c r="C117" s="451"/>
      <c r="D117" s="20"/>
      <c r="E117" s="20"/>
      <c r="F117" s="20"/>
      <c r="G117" s="20"/>
      <c r="H117" s="20"/>
      <c r="I117" s="20"/>
      <c r="J117" s="20"/>
      <c r="K117" s="20"/>
      <c r="L117" s="311"/>
      <c r="M117" s="311"/>
      <c r="N117" s="19"/>
      <c r="O117" s="18"/>
      <c r="P117" s="17"/>
      <c r="Q117" s="17"/>
      <c r="R117" s="16"/>
      <c r="S117" s="15"/>
    </row>
    <row r="118" spans="1:19">
      <c r="A118" s="455"/>
      <c r="B118" s="438"/>
      <c r="C118" s="451"/>
      <c r="D118" s="14"/>
      <c r="E118" s="14"/>
      <c r="F118" s="14"/>
      <c r="G118" s="14"/>
      <c r="H118" s="14"/>
      <c r="I118" s="14"/>
      <c r="J118" s="14"/>
      <c r="K118" s="14"/>
      <c r="L118" s="312"/>
      <c r="M118" s="312"/>
      <c r="N118" s="13"/>
      <c r="O118" s="12"/>
    </row>
    <row r="119" spans="1:19">
      <c r="A119" s="455"/>
      <c r="B119" s="438"/>
      <c r="C119" s="451"/>
      <c r="D119" s="584"/>
      <c r="E119" s="584"/>
      <c r="F119" s="584"/>
      <c r="G119" s="584"/>
      <c r="H119" s="584"/>
      <c r="I119" s="584"/>
      <c r="J119" s="584"/>
      <c r="K119" s="584"/>
      <c r="L119" s="307"/>
      <c r="M119" s="307"/>
      <c r="N119" s="584"/>
      <c r="O119" s="584"/>
    </row>
    <row r="120" spans="1:19">
      <c r="A120" s="455"/>
      <c r="B120" s="432"/>
      <c r="C120" s="451"/>
      <c r="D120" s="584"/>
      <c r="E120" s="584"/>
      <c r="F120" s="584"/>
      <c r="G120" s="584"/>
      <c r="H120" s="584"/>
      <c r="I120" s="584"/>
      <c r="J120" s="584"/>
      <c r="K120" s="584"/>
      <c r="L120" s="307"/>
      <c r="M120" s="307"/>
      <c r="N120" s="584"/>
      <c r="O120" s="584"/>
    </row>
    <row r="121" spans="1:19">
      <c r="A121" s="455"/>
      <c r="B121" s="432"/>
      <c r="C121" s="451"/>
      <c r="D121" s="584"/>
      <c r="E121" s="584"/>
      <c r="F121" s="584"/>
      <c r="G121" s="584"/>
      <c r="H121" s="584"/>
      <c r="I121" s="584"/>
      <c r="J121" s="584"/>
      <c r="K121" s="584"/>
      <c r="L121" s="307"/>
      <c r="M121" s="307"/>
      <c r="N121" s="584"/>
      <c r="O121" s="584"/>
    </row>
    <row r="122" spans="1:19">
      <c r="A122" s="455"/>
      <c r="B122" s="432"/>
      <c r="C122" s="451"/>
      <c r="D122" s="584"/>
      <c r="E122" s="584"/>
      <c r="F122" s="584"/>
      <c r="G122" s="584"/>
      <c r="H122" s="584"/>
      <c r="I122" s="584"/>
      <c r="J122" s="584"/>
      <c r="K122" s="584"/>
      <c r="L122" s="307"/>
      <c r="M122" s="307"/>
      <c r="N122" s="584"/>
      <c r="O122" s="584"/>
    </row>
    <row r="123" spans="1:19">
      <c r="A123" s="455"/>
      <c r="B123" s="456"/>
      <c r="C123" s="586"/>
      <c r="D123" s="584"/>
      <c r="E123" s="584"/>
      <c r="F123" s="584"/>
      <c r="G123" s="584"/>
      <c r="H123" s="584"/>
      <c r="I123" s="584"/>
      <c r="J123" s="584"/>
      <c r="K123" s="584"/>
      <c r="L123" s="307"/>
      <c r="M123" s="307"/>
      <c r="N123" s="584"/>
      <c r="O123" s="584"/>
    </row>
    <row r="124" spans="1:19">
      <c r="A124" s="455"/>
      <c r="B124" s="456"/>
      <c r="C124" s="586"/>
      <c r="D124" s="584"/>
      <c r="E124" s="584"/>
      <c r="F124" s="584"/>
      <c r="G124" s="584"/>
      <c r="H124" s="584"/>
      <c r="I124" s="584"/>
      <c r="J124" s="584"/>
      <c r="K124" s="584"/>
      <c r="L124" s="307"/>
      <c r="M124" s="307"/>
      <c r="N124" s="584"/>
      <c r="O124" s="584"/>
    </row>
    <row r="125" spans="1:19">
      <c r="A125" s="455"/>
      <c r="B125" s="586"/>
      <c r="C125" s="586"/>
      <c r="D125" s="584"/>
      <c r="E125" s="584"/>
      <c r="F125" s="584"/>
      <c r="G125" s="584"/>
      <c r="H125" s="584"/>
      <c r="I125" s="584"/>
      <c r="J125" s="584"/>
      <c r="K125" s="584"/>
      <c r="L125" s="307"/>
      <c r="M125" s="307"/>
      <c r="N125" s="584"/>
      <c r="O125" s="584"/>
    </row>
    <row r="126" spans="1:19">
      <c r="A126" s="455"/>
      <c r="B126" s="586"/>
      <c r="C126" s="586"/>
      <c r="D126" s="584"/>
      <c r="E126" s="584"/>
      <c r="F126" s="584"/>
      <c r="G126" s="584"/>
      <c r="H126" s="584"/>
      <c r="I126" s="584"/>
      <c r="J126" s="584"/>
      <c r="K126" s="584"/>
      <c r="L126" s="307"/>
      <c r="M126" s="307"/>
      <c r="N126" s="584"/>
      <c r="O126" s="584"/>
    </row>
    <row r="127" spans="1:19">
      <c r="A127" s="455"/>
      <c r="B127" s="586"/>
      <c r="C127" s="586"/>
      <c r="D127" s="584"/>
      <c r="E127" s="584"/>
      <c r="F127" s="584"/>
      <c r="G127" s="584"/>
      <c r="H127" s="584"/>
      <c r="I127" s="584"/>
      <c r="J127" s="584"/>
      <c r="K127" s="584"/>
      <c r="L127" s="307"/>
      <c r="M127" s="307"/>
      <c r="N127" s="584"/>
      <c r="O127" s="584"/>
    </row>
    <row r="128" spans="1:19">
      <c r="A128" s="455"/>
      <c r="B128" s="586"/>
      <c r="C128" s="586"/>
      <c r="N128" s="584"/>
      <c r="O128" s="584"/>
    </row>
    <row r="129" spans="1:15">
      <c r="A129" s="455"/>
      <c r="B129" s="586"/>
      <c r="C129" s="586"/>
      <c r="D129" s="584"/>
      <c r="E129" s="584"/>
      <c r="F129" s="584"/>
      <c r="G129" s="584"/>
      <c r="H129" s="584"/>
      <c r="I129" s="584"/>
      <c r="J129" s="584"/>
      <c r="K129" s="584"/>
      <c r="L129" s="307"/>
      <c r="M129" s="307"/>
      <c r="N129" s="584"/>
      <c r="O129" s="584"/>
    </row>
    <row r="130" spans="1:15">
      <c r="A130" s="455"/>
      <c r="B130" s="586"/>
      <c r="C130" s="586"/>
      <c r="D130" s="584"/>
      <c r="E130" s="584"/>
      <c r="F130" s="584"/>
      <c r="G130" s="584"/>
      <c r="H130" s="584"/>
      <c r="I130" s="584"/>
      <c r="J130" s="584"/>
      <c r="K130" s="584"/>
      <c r="L130" s="307"/>
      <c r="M130" s="307"/>
      <c r="N130" s="584"/>
      <c r="O130" s="584"/>
    </row>
    <row r="131" spans="1:15">
      <c r="A131" s="455"/>
      <c r="B131" s="586"/>
      <c r="C131" s="586"/>
      <c r="D131" s="584"/>
      <c r="E131" s="584"/>
      <c r="F131" s="584"/>
      <c r="G131" s="584"/>
      <c r="H131" s="584"/>
      <c r="I131" s="584"/>
      <c r="J131" s="584"/>
      <c r="K131" s="584"/>
      <c r="L131" s="307"/>
      <c r="M131" s="307"/>
      <c r="N131" s="584"/>
      <c r="O131" s="584"/>
    </row>
    <row r="132" spans="1:15">
      <c r="A132" s="455"/>
      <c r="B132" s="586"/>
      <c r="C132" s="586"/>
      <c r="D132" s="584"/>
      <c r="E132" s="584"/>
      <c r="F132" s="584"/>
      <c r="G132" s="584"/>
      <c r="H132" s="584"/>
      <c r="I132" s="584"/>
      <c r="J132" s="584"/>
      <c r="K132" s="584"/>
      <c r="L132" s="307"/>
      <c r="M132" s="307"/>
    </row>
    <row r="133" spans="1:15">
      <c r="A133" s="455"/>
      <c r="B133" s="586"/>
      <c r="C133" s="586"/>
      <c r="D133" s="584"/>
      <c r="E133" s="584"/>
      <c r="F133" s="584"/>
      <c r="G133" s="584"/>
      <c r="H133" s="584"/>
      <c r="I133" s="584"/>
      <c r="J133" s="584"/>
      <c r="K133" s="584"/>
      <c r="L133" s="307"/>
      <c r="M133" s="307"/>
    </row>
    <row r="134" spans="1:15">
      <c r="A134" s="455"/>
      <c r="B134" s="586"/>
      <c r="C134" s="586"/>
      <c r="D134" s="584"/>
      <c r="E134" s="584"/>
      <c r="F134" s="584"/>
      <c r="G134" s="584"/>
      <c r="H134" s="584"/>
      <c r="I134" s="584"/>
      <c r="J134" s="584"/>
      <c r="K134" s="584"/>
      <c r="L134" s="307"/>
      <c r="M134" s="307"/>
    </row>
    <row r="135" spans="1:15">
      <c r="A135" s="457"/>
      <c r="B135" s="458"/>
      <c r="C135" s="587"/>
    </row>
    <row r="136" spans="1:15">
      <c r="A136" s="587"/>
      <c r="B136" s="587"/>
      <c r="C136" s="587"/>
    </row>
    <row r="137" spans="1:15">
      <c r="A137" s="587"/>
      <c r="B137" s="587"/>
      <c r="C137" s="587"/>
    </row>
    <row r="138" spans="1:15">
      <c r="A138" s="459"/>
      <c r="B138" s="587"/>
      <c r="C138" s="587"/>
    </row>
    <row r="139" spans="1:15">
      <c r="A139" s="453"/>
      <c r="B139" s="586"/>
      <c r="C139" s="587"/>
    </row>
    <row r="140" spans="1:15">
      <c r="A140" s="587"/>
      <c r="B140" s="587"/>
      <c r="C140" s="587"/>
    </row>
    <row r="141" spans="1:15">
      <c r="A141" s="587"/>
      <c r="B141" s="587"/>
      <c r="C141" s="587"/>
    </row>
    <row r="142" spans="1:15">
      <c r="A142" s="587"/>
      <c r="B142" s="587"/>
      <c r="C142" s="587"/>
    </row>
    <row r="155" spans="14:18">
      <c r="N155" s="584"/>
      <c r="O155" s="584"/>
      <c r="P155" s="584"/>
      <c r="Q155" s="584"/>
      <c r="R155" s="584"/>
    </row>
    <row r="156" spans="14:18">
      <c r="N156" s="584"/>
      <c r="O156" s="584"/>
      <c r="P156" s="584"/>
      <c r="Q156" s="584"/>
      <c r="R156" s="584"/>
    </row>
    <row r="157" spans="14:18">
      <c r="N157" s="584"/>
      <c r="O157" s="584"/>
      <c r="P157" s="2"/>
      <c r="Q157" s="2"/>
      <c r="R157" s="584"/>
    </row>
    <row r="158" spans="14:18">
      <c r="N158" s="584"/>
      <c r="O158" s="584"/>
      <c r="P158" s="2"/>
      <c r="Q158" s="2"/>
      <c r="R158" s="584"/>
    </row>
    <row r="159" spans="14:18">
      <c r="N159" s="584"/>
      <c r="O159" s="584"/>
      <c r="P159" s="584"/>
      <c r="Q159" s="584"/>
      <c r="R159" s="584"/>
    </row>
    <row r="160" spans="14:18">
      <c r="N160" s="584"/>
      <c r="O160" s="584"/>
      <c r="P160" s="584"/>
      <c r="Q160" s="584"/>
      <c r="R160" s="584"/>
    </row>
    <row r="161" spans="14:18">
      <c r="N161" s="584"/>
      <c r="O161" s="584"/>
      <c r="P161" s="584"/>
      <c r="Q161" s="584"/>
      <c r="R161" s="584"/>
    </row>
    <row r="162" spans="14:18">
      <c r="N162" s="584"/>
      <c r="O162" s="584"/>
      <c r="P162" s="584"/>
      <c r="Q162" s="584"/>
      <c r="R162" s="584"/>
    </row>
    <row r="163" spans="14:18">
      <c r="N163" s="584"/>
      <c r="O163" s="584"/>
      <c r="P163" s="584"/>
      <c r="Q163" s="584"/>
      <c r="R163" s="584"/>
    </row>
  </sheetData>
  <mergeCells count="8">
    <mergeCell ref="D106:O106"/>
    <mergeCell ref="N107:O107"/>
    <mergeCell ref="C1:D1"/>
    <mergeCell ref="N1:O1"/>
    <mergeCell ref="N2:P2"/>
    <mergeCell ref="N49:P49"/>
    <mergeCell ref="D104:O104"/>
    <mergeCell ref="D105:O105"/>
  </mergeCells>
  <conditionalFormatting sqref="R13:R40 O25:P27 T25:T27 O33:P35 T33:T41 P36:P40 U40 S40:S41 O43:Q43 S43 P46:Q47 S46:S47 V40:V41 P51:S51 O52 O54:S54 P55:S55 P56:Q56 S56 O57:S58 P59:Q59 S59 P60:S60 O61:Q61 S61 O63 P63:Q64 S63:S64 T65:T66 P66:Q67 S66:S67 P75:S75 O76 O88:O92 R91:R92 T95:T96 O97:R97 T101:T102 P101:Q103 S103 T104:T105 P105:Q106 S105:S106 C115 C118:C122 D43:M43 D46:M47 D100:M100 D102:M102 R61:R74 R76:R79 O80:R86 P87:R90 O72:P74 T72:T74 T80:T88 U87 S87:S88 S90 P91:Q96 S93:S94 V87:V88 D90:M90 D93:M96">
    <cfRule type="cellIs" dxfId="0" priority="1" stopIfTrue="1" operator="lessThan">
      <formula>0</formula>
    </cfRule>
  </conditionalFormatting>
  <pageMargins left="0.43" right="0.27" top="0.51" bottom="0.39" header="0.15748031496062992" footer="0.19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2208 (2)</vt:lpstr>
      <vt:lpstr>Munka1</vt:lpstr>
      <vt:lpstr>OSSZEFUGESEK</vt:lpstr>
      <vt:lpstr>Munka3</vt:lpstr>
      <vt:lpstr>URES</vt:lpstr>
      <vt:lpstr>1909</vt:lpstr>
      <vt:lpstr>2409</vt:lpstr>
      <vt:lpstr>3009</vt:lpstr>
      <vt:lpstr>3009P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Deak</dc:creator>
  <cp:lastModifiedBy>Deak</cp:lastModifiedBy>
  <cp:lastPrinted>2025-09-18T12:42:44Z</cp:lastPrinted>
  <dcterms:created xsi:type="dcterms:W3CDTF">2024-05-23T11:58:48Z</dcterms:created>
  <dcterms:modified xsi:type="dcterms:W3CDTF">2025-10-10T11:21:33Z</dcterms:modified>
</cp:coreProperties>
</file>