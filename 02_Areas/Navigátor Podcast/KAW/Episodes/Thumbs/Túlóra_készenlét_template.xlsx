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risakft.sharepoint.com/sites/hrTeam/Shared Documents/04 HR Compensation Mgmt/06 Compensation calculation/"/>
    </mc:Choice>
  </mc:AlternateContent>
  <xr:revisionPtr revIDLastSave="0" documentId="8_{F6D2FF8C-7B24-43AC-BC89-C475EDEF3164}" xr6:coauthVersionLast="47" xr6:coauthVersionMax="47" xr10:uidLastSave="{00000000-0000-0000-0000-000000000000}"/>
  <bookViews>
    <workbookView xWindow="-28920" yWindow="-120" windowWidth="29040" windowHeight="15720" xr2:uid="{5CC431A1-AD83-42E0-9992-B60680BE2DDD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H32" i="1"/>
  <c r="I32" i="1"/>
  <c r="J32" i="1"/>
  <c r="C32" i="1"/>
  <c r="N27" i="1"/>
  <c r="N28" i="1"/>
  <c r="N29" i="1"/>
  <c r="N30" i="1"/>
  <c r="N31" i="1"/>
  <c r="N26" i="1"/>
  <c r="M27" i="1"/>
  <c r="O27" i="1" s="1"/>
  <c r="M28" i="1"/>
  <c r="O28" i="1" s="1"/>
  <c r="M29" i="1"/>
  <c r="O29" i="1" s="1"/>
  <c r="M30" i="1"/>
  <c r="O30" i="1" s="1"/>
  <c r="M31" i="1"/>
  <c r="O31" i="1" s="1"/>
  <c r="M26" i="1"/>
  <c r="O26" i="1" s="1"/>
  <c r="O32" i="1" l="1"/>
  <c r="P26" i="1"/>
  <c r="P27" i="1"/>
  <c r="P29" i="1"/>
  <c r="P28" i="1"/>
  <c r="P32" i="1" l="1"/>
  <c r="P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Sonrisa</author>
  </authors>
  <commentList>
    <comment ref="M22" authorId="0" shapeId="0" xr:uid="{AC0B253D-4D47-404B-B03F-7FC2E752DF4E}">
      <text>
        <r>
          <rPr>
            <sz val="9"/>
            <color indexed="81"/>
            <rFont val="Tahoma"/>
            <family val="2"/>
            <charset val="238"/>
          </rPr>
          <t>készenlét, éjszakai pótlék, túlóra pótlék</t>
        </r>
      </text>
    </comment>
    <comment ref="N22" authorId="0" shapeId="0" xr:uid="{97277435-BEC7-4CA6-A2B0-113A8CB89E0D}">
      <text>
        <r>
          <rPr>
            <sz val="9"/>
            <color indexed="81"/>
            <rFont val="Tahoma"/>
            <family val="2"/>
            <charset val="238"/>
          </rPr>
          <t xml:space="preserve">túlóra alap, havi munkanap alapján
</t>
        </r>
      </text>
    </comment>
    <comment ref="P22" authorId="0" shapeId="0" xr:uid="{7B3F53C7-76CF-4838-91A5-CCD83C85A7E0}">
      <text>
        <r>
          <rPr>
            <sz val="9"/>
            <color indexed="81"/>
            <rFont val="Tahoma"/>
            <family val="2"/>
            <charset val="238"/>
          </rPr>
          <t xml:space="preserve">1,5 esetén 1 az adott havi, 0,5 a 174-el korrigált
</t>
        </r>
      </text>
    </comment>
  </commentList>
</comments>
</file>

<file path=xl/sharedStrings.xml><?xml version="1.0" encoding="utf-8"?>
<sst xmlns="http://schemas.openxmlformats.org/spreadsheetml/2006/main" count="58" uniqueCount="46">
  <si>
    <t>Szabályok</t>
  </si>
  <si>
    <t>készenlét / ügyelet</t>
  </si>
  <si>
    <t xml:space="preserve">ügyelet esetén a rendelkezésre állás helyét a munkáltató határozza meg, míg készenlét estén a tartózkodási helyét a munkavállaló maga határozza meg -&gt; készenlét
a készenlét nem minősül munkaidőnek, az ügyelet viszont igen
</t>
  </si>
  <si>
    <t>munkavégzés szorzó</t>
  </si>
  <si>
    <t>készenlét szorzó</t>
  </si>
  <si>
    <t>túlóra szorzó (rendkívüli munkavégzés)</t>
  </si>
  <si>
    <t>készenlét szabályok</t>
  </si>
  <si>
    <t xml:space="preserve">havi tartama a 168 órát nem haladhatja meg, </t>
  </si>
  <si>
    <t>Hétköznap</t>
  </si>
  <si>
    <t>napközben</t>
  </si>
  <si>
    <t>amelyet munkaidőkeret alkalmazása esetén átlagban kell figyelembe venni</t>
  </si>
  <si>
    <t>22.00 - 06.00 (éjszakai munka)</t>
  </si>
  <si>
    <t>készenlét a heti pihenőnap tartamára havonta legfeljebb négy alkalommal rendelhető el</t>
  </si>
  <si>
    <t>Hétvégén</t>
  </si>
  <si>
    <t>a legjobb, ha közös megegyezés van, nem munkáltató rendeli el</t>
  </si>
  <si>
    <t>22.00-06.00</t>
  </si>
  <si>
    <t>nyilvántartás: naprakészen megállapíthatónak kell lennie a teljesített rendes és rendkívüli munkaidő, valamint a készenlét kezdő és befejező időpontjának is</t>
  </si>
  <si>
    <t>Ünnepnap (munka-szüneti nap)</t>
  </si>
  <si>
    <t>díja</t>
  </si>
  <si>
    <t>20% bérpótlék jár</t>
  </si>
  <si>
    <t>Munkavégzés esetén bérpótlék a standard szabályok szerint jár</t>
  </si>
  <si>
    <t>túlóra = rendkívüli munkaidő</t>
  </si>
  <si>
    <t>A munkaidő-beosztást meghaladó vagy pihenő-/munkaszüneti napra elrendelt munkavégzés</t>
  </si>
  <si>
    <t>Naptári évenként 250 óra rendkívüli munkaidő rendelhető el.</t>
  </si>
  <si>
    <t xml:space="preserve">bérpótlék alap: </t>
  </si>
  <si>
    <t>havibér/174</t>
  </si>
  <si>
    <t>Kalkuláció</t>
  </si>
  <si>
    <t>Hónap</t>
  </si>
  <si>
    <t>Készenlét (óra)</t>
  </si>
  <si>
    <t>Túlóra (óra)</t>
  </si>
  <si>
    <t>Munka-napok száma</t>
  </si>
  <si>
    <t>Alapbér (br, havi)</t>
  </si>
  <si>
    <t>Órabér alap</t>
  </si>
  <si>
    <t>Órabér túlórához</t>
  </si>
  <si>
    <t>Készenléti pótlék</t>
  </si>
  <si>
    <t>Túlóra</t>
  </si>
  <si>
    <t>A hét minden napján</t>
  </si>
  <si>
    <t>Ünnepnap</t>
  </si>
  <si>
    <t>nap-közben</t>
  </si>
  <si>
    <t>éjszaka: 22.00-06.00</t>
  </si>
  <si>
    <t>szorzó</t>
  </si>
  <si>
    <t>ab</t>
  </si>
  <si>
    <t>bc</t>
  </si>
  <si>
    <t>cd</t>
  </si>
  <si>
    <t>de</t>
  </si>
  <si>
    <t>Összesen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</si>
</sst>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0"/>
      <name val="Calibri"/>
      <family val="2"/>
      <charset val="238"/>
    </font>
    <font>
      <b/>
      <sz val="11"/>
      <color rgb="FFFF0000"/>
      <name val="Calibri"/>
      <family val="2"/>
      <charset val="238"/>
    </font>
    <font>
      <sz val="9"/>
      <color indexed="81"/>
      <name val="Tahom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0" fillId="5" borderId="1" xfId="1" applyNumberFormat="1" applyFont="1" applyFill="1" applyBorder="1"/>
    <xf numFmtId="164" fontId="8" fillId="5" borderId="1" xfId="0" applyNumberFormat="1" applyFont="1" applyFill="1" applyBorder="1"/>
    <xf numFmtId="0" fontId="0" fillId="0" borderId="0" xfId="0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" fontId="0" fillId="0" borderId="0" xfId="0" quotePrefix="1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 indent="2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0" fillId="3" borderId="1" xfId="1" applyNumberFormat="1" applyFont="1" applyFill="1" applyBorder="1"/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0" fillId="7" borderId="0" xfId="0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E97D-5F77-4543-84CF-328F2F57CA3F}">
  <dimension ref="A2:P34"/>
  <sheetViews>
    <sheetView tabSelected="1" zoomScaleNormal="100" workbookViewId="0">
      <selection activeCell="P17" sqref="P17"/>
    </sheetView>
  </sheetViews>
  <sheetFormatPr defaultRowHeight="14.45"/>
  <cols>
    <col min="1" max="1" width="25.5703125" bestFit="1" customWidth="1"/>
    <col min="2" max="2" width="31.5703125" customWidth="1"/>
    <col min="3" max="16" width="12.140625" customWidth="1"/>
    <col min="17" max="22" width="10.5703125" customWidth="1"/>
    <col min="25" max="25" width="10" bestFit="1" customWidth="1"/>
  </cols>
  <sheetData>
    <row r="2" spans="1:14">
      <c r="A2" s="5" t="s">
        <v>0</v>
      </c>
    </row>
    <row r="3" spans="1:14">
      <c r="A3" s="5"/>
    </row>
    <row r="4" spans="1:14" s="1" customFormat="1" ht="57.95">
      <c r="A4" s="11" t="s">
        <v>1</v>
      </c>
      <c r="B4" s="34" t="s">
        <v>2</v>
      </c>
      <c r="C4" s="34"/>
      <c r="D4" s="34"/>
      <c r="E4" s="34"/>
      <c r="F4" s="11"/>
      <c r="J4" s="13"/>
      <c r="K4" s="13"/>
      <c r="L4" s="14" t="s">
        <v>3</v>
      </c>
      <c r="M4" s="14" t="s">
        <v>4</v>
      </c>
      <c r="N4" s="14" t="s">
        <v>5</v>
      </c>
    </row>
    <row r="5" spans="1:14" s="1" customFormat="1">
      <c r="A5" s="27" t="s">
        <v>6</v>
      </c>
      <c r="B5" t="s">
        <v>7</v>
      </c>
      <c r="C5" s="6"/>
      <c r="D5" s="6"/>
      <c r="E5" s="6"/>
      <c r="J5" s="15" t="s">
        <v>8</v>
      </c>
      <c r="K5" s="15" t="s">
        <v>9</v>
      </c>
      <c r="L5" s="16">
        <v>1</v>
      </c>
      <c r="M5" s="16">
        <v>0.2</v>
      </c>
      <c r="N5" s="16">
        <v>1.5</v>
      </c>
    </row>
    <row r="6" spans="1:14" s="1" customFormat="1" ht="43.5">
      <c r="A6"/>
      <c r="B6" s="34" t="s">
        <v>10</v>
      </c>
      <c r="C6" s="34"/>
      <c r="D6" s="34"/>
      <c r="E6" s="34"/>
      <c r="J6" s="15"/>
      <c r="K6" s="17" t="s">
        <v>11</v>
      </c>
      <c r="L6" s="18">
        <v>1.1499999999999999</v>
      </c>
      <c r="M6" s="18">
        <v>0.2</v>
      </c>
      <c r="N6" s="18">
        <v>1.65</v>
      </c>
    </row>
    <row r="7" spans="1:14" ht="29.45" customHeight="1">
      <c r="B7" s="34" t="s">
        <v>12</v>
      </c>
      <c r="C7" s="34"/>
      <c r="D7" s="34"/>
      <c r="E7" s="34"/>
      <c r="J7" s="19" t="s">
        <v>13</v>
      </c>
      <c r="K7" s="19" t="s">
        <v>9</v>
      </c>
      <c r="L7" s="20"/>
      <c r="M7" s="21">
        <v>0.2</v>
      </c>
      <c r="N7" s="20">
        <v>2</v>
      </c>
    </row>
    <row r="8" spans="1:14">
      <c r="B8" t="s">
        <v>14</v>
      </c>
      <c r="J8" s="19"/>
      <c r="K8" s="22" t="s">
        <v>15</v>
      </c>
      <c r="L8" s="18"/>
      <c r="M8" s="18">
        <v>0.2</v>
      </c>
      <c r="N8" s="18">
        <v>2.15</v>
      </c>
    </row>
    <row r="9" spans="1:14" ht="29.1" customHeight="1">
      <c r="B9" s="34" t="s">
        <v>16</v>
      </c>
      <c r="C9" s="34"/>
      <c r="D9" s="34"/>
      <c r="E9" s="34"/>
      <c r="J9" s="50" t="s">
        <v>17</v>
      </c>
      <c r="K9" s="23" t="s">
        <v>9</v>
      </c>
      <c r="L9" s="24"/>
      <c r="M9" s="25">
        <v>0.2</v>
      </c>
      <c r="N9" s="25">
        <v>2</v>
      </c>
    </row>
    <row r="10" spans="1:14">
      <c r="A10" s="27" t="s">
        <v>18</v>
      </c>
      <c r="B10" t="s">
        <v>19</v>
      </c>
      <c r="J10" s="50"/>
      <c r="K10" s="22" t="s">
        <v>15</v>
      </c>
      <c r="L10" s="18"/>
      <c r="M10" s="18">
        <v>0.2</v>
      </c>
      <c r="N10" s="18">
        <v>2.15</v>
      </c>
    </row>
    <row r="11" spans="1:14">
      <c r="B11" t="s">
        <v>20</v>
      </c>
    </row>
    <row r="13" spans="1:14">
      <c r="A13" t="s">
        <v>21</v>
      </c>
      <c r="B13" t="s">
        <v>22</v>
      </c>
    </row>
    <row r="14" spans="1:14">
      <c r="A14" s="5"/>
      <c r="B14" s="26" t="s">
        <v>23</v>
      </c>
    </row>
    <row r="15" spans="1:14">
      <c r="A15" s="5"/>
    </row>
    <row r="16" spans="1:14">
      <c r="A16" t="s">
        <v>24</v>
      </c>
      <c r="B16" t="s">
        <v>25</v>
      </c>
    </row>
    <row r="17" spans="1:16">
      <c r="A17" s="5"/>
    </row>
    <row r="19" spans="1:16">
      <c r="A19" s="5" t="s">
        <v>26</v>
      </c>
    </row>
    <row r="20" spans="1:16">
      <c r="A20" s="5"/>
      <c r="M20" s="4"/>
      <c r="N20" s="4"/>
    </row>
    <row r="21" spans="1:16">
      <c r="A21" s="45" t="s">
        <v>27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16">
      <c r="A22" s="37"/>
      <c r="B22" s="37"/>
      <c r="C22" s="48" t="s">
        <v>28</v>
      </c>
      <c r="D22" s="49"/>
      <c r="E22" s="42" t="s">
        <v>29</v>
      </c>
      <c r="F22" s="43"/>
      <c r="G22" s="43"/>
      <c r="H22" s="43"/>
      <c r="I22" s="43"/>
      <c r="J22" s="44"/>
      <c r="K22" s="46" t="s">
        <v>30</v>
      </c>
      <c r="L22" s="46" t="s">
        <v>31</v>
      </c>
      <c r="M22" s="46" t="s">
        <v>32</v>
      </c>
      <c r="N22" s="46" t="s">
        <v>33</v>
      </c>
      <c r="O22" s="47" t="s">
        <v>34</v>
      </c>
      <c r="P22" s="47" t="s">
        <v>35</v>
      </c>
    </row>
    <row r="23" spans="1:16">
      <c r="A23" s="38"/>
      <c r="B23" s="38"/>
      <c r="C23" s="35" t="s">
        <v>36</v>
      </c>
      <c r="D23" s="36"/>
      <c r="E23" s="40" t="s">
        <v>8</v>
      </c>
      <c r="F23" s="41"/>
      <c r="G23" s="40" t="s">
        <v>13</v>
      </c>
      <c r="H23" s="41"/>
      <c r="I23" s="40" t="s">
        <v>37</v>
      </c>
      <c r="J23" s="41"/>
      <c r="K23" s="46"/>
      <c r="L23" s="46"/>
      <c r="M23" s="46"/>
      <c r="N23" s="46"/>
      <c r="O23" s="47" t="s">
        <v>34</v>
      </c>
      <c r="P23" s="47"/>
    </row>
    <row r="24" spans="1:16" ht="43.5">
      <c r="A24" s="39"/>
      <c r="B24" s="39"/>
      <c r="C24" s="7" t="s">
        <v>38</v>
      </c>
      <c r="D24" s="7" t="s">
        <v>39</v>
      </c>
      <c r="E24" s="8" t="s">
        <v>38</v>
      </c>
      <c r="F24" s="8" t="s">
        <v>39</v>
      </c>
      <c r="G24" s="8" t="s">
        <v>38</v>
      </c>
      <c r="H24" s="8" t="s">
        <v>39</v>
      </c>
      <c r="I24" s="8" t="s">
        <v>38</v>
      </c>
      <c r="J24" s="8" t="s">
        <v>39</v>
      </c>
      <c r="K24" s="46"/>
      <c r="L24" s="46"/>
      <c r="M24" s="46"/>
      <c r="N24" s="46"/>
      <c r="O24" s="47"/>
      <c r="P24" s="47"/>
    </row>
    <row r="25" spans="1:16">
      <c r="A25" s="35" t="s">
        <v>40</v>
      </c>
      <c r="B25" s="36"/>
      <c r="C25" s="7">
        <v>0.2</v>
      </c>
      <c r="D25" s="7">
        <v>0.2</v>
      </c>
      <c r="E25" s="8">
        <v>0.5</v>
      </c>
      <c r="F25" s="8">
        <v>0.65</v>
      </c>
      <c r="G25" s="8">
        <v>1</v>
      </c>
      <c r="H25" s="8">
        <v>1.1499999999999999</v>
      </c>
      <c r="I25" s="8">
        <v>1</v>
      </c>
      <c r="J25" s="8">
        <v>1.1499999999999999</v>
      </c>
      <c r="K25" s="46"/>
      <c r="L25" s="46"/>
      <c r="M25" s="2">
        <v>174</v>
      </c>
      <c r="N25" s="2">
        <v>174</v>
      </c>
      <c r="O25" s="47"/>
      <c r="P25" s="47"/>
    </row>
    <row r="26" spans="1:16">
      <c r="A26" s="29" t="s">
        <v>41</v>
      </c>
      <c r="B26" s="30"/>
      <c r="C26" s="28"/>
      <c r="D26" s="28"/>
      <c r="E26" s="28"/>
      <c r="F26" s="28"/>
      <c r="G26" s="28"/>
      <c r="H26" s="28"/>
      <c r="I26" s="28"/>
      <c r="J26" s="28"/>
      <c r="K26" s="3">
        <v>21.75</v>
      </c>
      <c r="L26" s="31"/>
      <c r="M26" s="9">
        <f>+L26/174</f>
        <v>0</v>
      </c>
      <c r="N26" s="9">
        <f>+L26/(+K26*8)</f>
        <v>0</v>
      </c>
      <c r="O26" s="9">
        <f>+ROUNDUP((((+C26-E26-G26-I26)*$C$25*M26)+((+D26-F26-H26-J26)*$D$25*M26)),-2)</f>
        <v>0</v>
      </c>
      <c r="P26" s="9">
        <f>+ROUNDUP((((+$N26*E26)+($M26*E26*E$25))+((+$N26*F26)+($M26*F26*F$25))+((+$N26*G26)+($M26*G26*G$25))+((+$N26*H26)+($M26*H26*H$25))+((+$N26*I26)+($M26*I26*I$25))+((+$N26*J26)+($M26*J26*J$25))),-2)</f>
        <v>0</v>
      </c>
    </row>
    <row r="27" spans="1:16">
      <c r="A27" s="29" t="s">
        <v>42</v>
      </c>
      <c r="B27" s="30"/>
      <c r="C27" s="28"/>
      <c r="D27" s="28"/>
      <c r="E27" s="28"/>
      <c r="F27" s="28"/>
      <c r="G27" s="28"/>
      <c r="H27" s="28"/>
      <c r="I27" s="28"/>
      <c r="J27" s="28"/>
      <c r="K27" s="3">
        <v>21.75</v>
      </c>
      <c r="L27" s="31"/>
      <c r="M27" s="9">
        <f t="shared" ref="M27:M31" si="0">+L27/174</f>
        <v>0</v>
      </c>
      <c r="N27" s="9">
        <f t="shared" ref="N27:N31" si="1">+L27/(+K27*8)</f>
        <v>0</v>
      </c>
      <c r="O27" s="9">
        <f>+ROUNDUP((((+C27-E27-G27-I27)*$C$25*M27)+((+D27-F27-H27-J27)*$D$25*M27)),-2)</f>
        <v>0</v>
      </c>
      <c r="P27" s="9">
        <f>+ROUNDUP((((+$N27*E27)+($M27*E27*E$25))+((+$N27*F27)+($M27*F27*F$25))+((+$N27*G27)+($M27*G27*G$25))+((+$N27*H27)+($M27*H27*H$25))+((+$N27*I27)+($M27*I27*I$25))+((+$N27*J27)+($M27*J27*J$25))),-2)</f>
        <v>0</v>
      </c>
    </row>
    <row r="28" spans="1:16">
      <c r="A28" s="29" t="s">
        <v>43</v>
      </c>
      <c r="B28" s="30"/>
      <c r="C28" s="28"/>
      <c r="D28" s="28"/>
      <c r="E28" s="28"/>
      <c r="F28" s="28"/>
      <c r="G28" s="28"/>
      <c r="H28" s="28"/>
      <c r="I28" s="28"/>
      <c r="J28" s="28"/>
      <c r="K28" s="3">
        <v>21.75</v>
      </c>
      <c r="L28" s="31"/>
      <c r="M28" s="9">
        <f t="shared" si="0"/>
        <v>0</v>
      </c>
      <c r="N28" s="9">
        <f t="shared" si="1"/>
        <v>0</v>
      </c>
      <c r="O28" s="9">
        <f>+ROUNDUP((((+C28-E28-G28-I28)*$C$25*M28)+((+D28-F28-H28-J28)*$D$25*M28)),-2)</f>
        <v>0</v>
      </c>
      <c r="P28" s="9">
        <f>+ROUNDUP((((+$N28*E28)+($M28*E28*E$25))+((+$N28*F28)+($M28*F28*F$25))+((+$N28*G28)+($M28*G28*G$25))+((+$N28*H28)+($M28*H28*H$25))+((+$N28*I28)+($M28*I28*I$25))+((+$N28*J28)+($M28*J28*J$25))),-2)</f>
        <v>0</v>
      </c>
    </row>
    <row r="29" spans="1:16">
      <c r="A29" s="29" t="s">
        <v>44</v>
      </c>
      <c r="B29" s="30"/>
      <c r="C29" s="28"/>
      <c r="D29" s="28"/>
      <c r="E29" s="28"/>
      <c r="F29" s="28"/>
      <c r="G29" s="28"/>
      <c r="H29" s="28"/>
      <c r="I29" s="28"/>
      <c r="J29" s="28"/>
      <c r="K29" s="3">
        <v>21.75</v>
      </c>
      <c r="L29" s="31"/>
      <c r="M29" s="9">
        <f t="shared" si="0"/>
        <v>0</v>
      </c>
      <c r="N29" s="9">
        <f t="shared" si="1"/>
        <v>0</v>
      </c>
      <c r="O29" s="9">
        <f>+ROUNDUP((((+C29-E29-G29-I29)*$C$25*M29)+((+D29-F29-H29-J29)*$D$25*M29)),-2)</f>
        <v>0</v>
      </c>
      <c r="P29" s="9">
        <f>+ROUNDUP((((+$N29*E29)+($M29*E29*E$25))+((+$N29*F29)+($M29*F29*F$25))+((+$N29*G29)+($M29*G29*G$25))+((+$N29*H29)+($M29*H29*H$25))+((+$N29*I29)+($M29*I29*I$25))+((+$N29*J29)+($M29*J29*J$25))),-2)</f>
        <v>0</v>
      </c>
    </row>
    <row r="30" spans="1:16">
      <c r="A30" s="29"/>
      <c r="B30" s="30"/>
      <c r="C30" s="28"/>
      <c r="D30" s="28"/>
      <c r="E30" s="28"/>
      <c r="F30" s="28"/>
      <c r="G30" s="28"/>
      <c r="H30" s="28"/>
      <c r="I30" s="28"/>
      <c r="J30" s="28"/>
      <c r="K30" s="3">
        <v>21.75</v>
      </c>
      <c r="L30" s="31"/>
      <c r="M30" s="9">
        <f t="shared" si="0"/>
        <v>0</v>
      </c>
      <c r="N30" s="9">
        <f t="shared" si="1"/>
        <v>0</v>
      </c>
      <c r="O30" s="9">
        <f>+ROUNDUP((+(C30*$C$25*M30)+(D30*$D$25*M30)),-2)</f>
        <v>0</v>
      </c>
      <c r="P30" s="9"/>
    </row>
    <row r="31" spans="1:16">
      <c r="A31" s="29"/>
      <c r="B31" s="30"/>
      <c r="C31" s="28"/>
      <c r="D31" s="28"/>
      <c r="E31" s="28"/>
      <c r="F31" s="28"/>
      <c r="G31" s="28"/>
      <c r="H31" s="28"/>
      <c r="I31" s="28"/>
      <c r="J31" s="28"/>
      <c r="K31" s="3">
        <v>21.75</v>
      </c>
      <c r="L31" s="31"/>
      <c r="M31" s="9">
        <f t="shared" si="0"/>
        <v>0</v>
      </c>
      <c r="N31" s="9">
        <f t="shared" si="1"/>
        <v>0</v>
      </c>
      <c r="O31" s="9">
        <f>+ROUNDUP((+(C31*$C$25*M31)+(D31*$D$25*M31)),-2)</f>
        <v>0</v>
      </c>
      <c r="P31" s="9"/>
    </row>
    <row r="32" spans="1:16">
      <c r="C32" s="12">
        <f>SUM(C26:C31)</f>
        <v>0</v>
      </c>
      <c r="D32" s="12">
        <f t="shared" ref="D32:J32" si="2">SUM(D26:D31)</f>
        <v>0</v>
      </c>
      <c r="E32" s="12">
        <f t="shared" si="2"/>
        <v>0</v>
      </c>
      <c r="F32" s="12">
        <f t="shared" si="2"/>
        <v>0</v>
      </c>
      <c r="G32" s="12">
        <f t="shared" si="2"/>
        <v>0</v>
      </c>
      <c r="H32" s="12">
        <f t="shared" si="2"/>
        <v>0</v>
      </c>
      <c r="I32" s="12">
        <f t="shared" si="2"/>
        <v>0</v>
      </c>
      <c r="J32" s="12">
        <f t="shared" si="2"/>
        <v>0</v>
      </c>
      <c r="O32" s="9">
        <f>SUM(O26:O31)*1.13</f>
        <v>0</v>
      </c>
      <c r="P32" s="9">
        <f>SUM(P26:P31)*1.13</f>
        <v>0</v>
      </c>
    </row>
    <row r="34" spans="1:16">
      <c r="A34" s="5"/>
      <c r="N34" s="32" t="s">
        <v>45</v>
      </c>
      <c r="O34" s="33"/>
      <c r="P34" s="10">
        <f>SUM(O26:P31)*1.13</f>
        <v>0</v>
      </c>
    </row>
  </sheetData>
  <mergeCells count="21">
    <mergeCell ref="B4:E4"/>
    <mergeCell ref="C22:D22"/>
    <mergeCell ref="C23:D23"/>
    <mergeCell ref="E23:F23"/>
    <mergeCell ref="L22:L25"/>
    <mergeCell ref="K22:K25"/>
    <mergeCell ref="J9:J10"/>
    <mergeCell ref="N34:O34"/>
    <mergeCell ref="B9:E9"/>
    <mergeCell ref="B7:E7"/>
    <mergeCell ref="B6:E6"/>
    <mergeCell ref="A25:B25"/>
    <mergeCell ref="A22:B24"/>
    <mergeCell ref="G23:H23"/>
    <mergeCell ref="I23:J23"/>
    <mergeCell ref="E22:J22"/>
    <mergeCell ref="A21:P21"/>
    <mergeCell ref="M22:M24"/>
    <mergeCell ref="N22:N24"/>
    <mergeCell ref="O22:O25"/>
    <mergeCell ref="P22:P25"/>
  </mergeCells>
  <pageMargins left="0.7" right="0.7" top="0.75" bottom="0.75" header="0.3" footer="0.3"/>
  <pageSetup paperSize="9" orientation="portrait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968b4a-67d3-46cc-a234-cf635bf052d5">
      <Terms xmlns="http://schemas.microsoft.com/office/infopath/2007/PartnerControls"/>
    </lcf76f155ced4ddcb4097134ff3c332f>
    <TaxCatchAll xmlns="f966e237-cfd3-4c5a-ae81-84158c379a9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52431CBD3D50E4680CBDD1BF203135F" ma:contentTypeVersion="18" ma:contentTypeDescription="Új dokumentum létrehozása." ma:contentTypeScope="" ma:versionID="b5c7f92151e886227ca64e3cc1deeff9">
  <xsd:schema xmlns:xsd="http://www.w3.org/2001/XMLSchema" xmlns:xs="http://www.w3.org/2001/XMLSchema" xmlns:p="http://schemas.microsoft.com/office/2006/metadata/properties" xmlns:ns2="92968b4a-67d3-46cc-a234-cf635bf052d5" xmlns:ns3="f966e237-cfd3-4c5a-ae81-84158c379a92" targetNamespace="http://schemas.microsoft.com/office/2006/metadata/properties" ma:root="true" ma:fieldsID="dfb88579c582823df7c050bb8122256b" ns2:_="" ns3:_="">
    <xsd:import namespace="92968b4a-67d3-46cc-a234-cf635bf052d5"/>
    <xsd:import namespace="f966e237-cfd3-4c5a-ae81-84158c379a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68b4a-67d3-46cc-a234-cf635bf052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Képcímkék" ma:readOnly="false" ma:fieldId="{5cf76f15-5ced-4ddc-b409-7134ff3c332f}" ma:taxonomyMulti="true" ma:sspId="91779ecb-b77e-4be4-9dfa-3fb870ed7a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6e237-cfd3-4c5a-ae81-84158c379a9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fd91f7-05e3-4ab5-99ca-913993fd882d}" ma:internalName="TaxCatchAll" ma:showField="CatchAllData" ma:web="f966e237-cfd3-4c5a-ae81-84158c379a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D18226-4BD2-4D05-88B9-3442FDD0AC35}"/>
</file>

<file path=customXml/itemProps2.xml><?xml version="1.0" encoding="utf-8"?>
<ds:datastoreItem xmlns:ds="http://schemas.openxmlformats.org/officeDocument/2006/customXml" ds:itemID="{D681BA73-BFF0-44F6-96CD-BF2CC8F614FA}"/>
</file>

<file path=customXml/itemProps3.xml><?xml version="1.0" encoding="utf-8"?>
<ds:datastoreItem xmlns:ds="http://schemas.openxmlformats.org/officeDocument/2006/customXml" ds:itemID="{3C39F1EA-22EB-424F-A07E-BAE25223F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Bazsik András</dc:creator>
  <cp:keywords/>
  <dc:description/>
  <cp:lastModifiedBy/>
  <cp:revision/>
  <dcterms:created xsi:type="dcterms:W3CDTF">2022-11-04T14:30:02Z</dcterms:created>
  <dcterms:modified xsi:type="dcterms:W3CDTF">2025-08-08T07:59:24Z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0x010100F52431CBD3D50E4680CBDD1BF203135F</vt:lpwstr>
  </property>
  <property fmtid="{D5CDD505-2E9C-101B-9397-08002B2CF9AE}" pid="3" name="MediaServiceImageTags">
    <vt:lpwstr/>
  </property>
</Properties>
</file>