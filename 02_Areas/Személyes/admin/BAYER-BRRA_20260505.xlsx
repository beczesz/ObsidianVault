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sonrisakft.sharepoint.com/sites/Finance/Megosztott dokumentumok/General/Számlakísérők/Uploads/2026.04/"/>
    </mc:Choice>
  </mc:AlternateContent>
  <xr:revisionPtr revIDLastSave="0" documentId="8_{D4D92769-F47A-4BD1-B10D-6B1E78FA9FA8}" xr6:coauthVersionLast="47" xr6:coauthVersionMax="47" xr10:uidLastSave="{00000000-0000-0000-0000-000000000000}"/>
  <bookViews>
    <workbookView xWindow="-96" yWindow="0" windowWidth="20832" windowHeight="16656" tabRatio="500" xr2:uid="{00000000-000D-0000-FFFF-FFFF00000000}"/>
  </bookViews>
  <sheets>
    <sheet name="Summary" sheetId="1" r:id="rId1"/>
    <sheet name="Timeshe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M13" i="1" l="1"/>
  <c r="A13" i="1"/>
  <c r="M12" i="1"/>
  <c r="A12" i="1"/>
  <c r="M11" i="1"/>
  <c r="A11" i="1"/>
  <c r="M14" i="1"/>
  <c r="A10" i="1"/>
  <c r="A1" i="1"/>
</calcChain>
</file>

<file path=xl/sharedStrings.xml><?xml version="1.0" encoding="utf-8"?>
<sst xmlns="http://schemas.openxmlformats.org/spreadsheetml/2006/main" count="209" uniqueCount="73">
  <si>
    <t xml:space="preserve">Project Code: </t>
  </si>
  <si>
    <t>BAYER-BRRA</t>
  </si>
  <si>
    <t xml:space="preserve">Sales Manager: </t>
  </si>
  <si>
    <t>Miklós Nándor (miklosn)</t>
  </si>
  <si>
    <t xml:space="preserve">Service Period From: </t>
  </si>
  <si>
    <t xml:space="preserve">Invoice Number: </t>
  </si>
  <si>
    <t xml:space="preserve">Project Name: </t>
  </si>
  <si>
    <t>Bayer Strada</t>
  </si>
  <si>
    <t xml:space="preserve">Account Manager: </t>
  </si>
  <si>
    <t>Becze Szabolcs (beczesz)</t>
  </si>
  <si>
    <t xml:space="preserve">Service Period To: </t>
  </si>
  <si>
    <t xml:space="preserve">Invoice Part Number: </t>
  </si>
  <si>
    <t xml:space="preserve">Client Code: </t>
  </si>
  <si>
    <t>BAYER</t>
  </si>
  <si>
    <t xml:space="preserve">Project Manager: </t>
  </si>
  <si>
    <t>Vincze Bálint Ákos (vinczeb)</t>
  </si>
  <si>
    <t>Service Date:</t>
  </si>
  <si>
    <t xml:space="preserve">Invoice Date: </t>
  </si>
  <si>
    <t xml:space="preserve">Client Name: </t>
  </si>
  <si>
    <t xml:space="preserve">Created by: </t>
  </si>
  <si>
    <t xml:space="preserve">Customer PO number: </t>
  </si>
  <si>
    <t>Payment Term:</t>
  </si>
  <si>
    <t>Business Unit :</t>
  </si>
  <si>
    <t xml:space="preserve">Creation Date: </t>
  </si>
  <si>
    <t xml:space="preserve">Invoice Description: </t>
  </si>
  <si>
    <t xml:space="preserve">Invoice Currency: </t>
  </si>
  <si>
    <t>#</t>
  </si>
  <si>
    <t>Item or Name</t>
  </si>
  <si>
    <t>LDAP/PO</t>
  </si>
  <si>
    <t>Contractual Role</t>
  </si>
  <si>
    <t>Contractual Seniority
(exactly as shown in MSA/SOW)</t>
  </si>
  <si>
    <t>Comment</t>
  </si>
  <si>
    <t>Quantity</t>
  </si>
  <si>
    <t>Unit of Quantity</t>
  </si>
  <si>
    <t>Unit Price or
Hourly / Daily Rate</t>
  </si>
  <si>
    <t>Discount %</t>
  </si>
  <si>
    <t>Currency</t>
  </si>
  <si>
    <t>Applied F/X</t>
  </si>
  <si>
    <t>Subtotal in Invoice Currency</t>
  </si>
  <si>
    <t>Szántó Zoltán</t>
  </si>
  <si>
    <t>szantoz</t>
  </si>
  <si>
    <t>Software Engineer</t>
  </si>
  <si>
    <t>Senior (E8)</t>
  </si>
  <si>
    <t>Hour</t>
  </si>
  <si>
    <t>EUR</t>
  </si>
  <si>
    <t>Török Bálint Lajos</t>
  </si>
  <si>
    <t>torokb</t>
  </si>
  <si>
    <t>DevOps Engineer</t>
  </si>
  <si>
    <t>Expert (E5)</t>
  </si>
  <si>
    <t>Invoice Total:</t>
  </si>
  <si>
    <t>Activity Report</t>
  </si>
  <si>
    <t>User</t>
  </si>
  <si>
    <t>Team</t>
  </si>
  <si>
    <t>Project name</t>
  </si>
  <si>
    <t>Company name</t>
  </si>
  <si>
    <t>Task issue ID</t>
  </si>
  <si>
    <t>Task name</t>
  </si>
  <si>
    <t>Activity description</t>
  </si>
  <si>
    <t>Activity date</t>
  </si>
  <si>
    <t>Start time</t>
  </si>
  <si>
    <t>End time</t>
  </si>
  <si>
    <t>Length</t>
  </si>
  <si>
    <t>Work type</t>
  </si>
  <si>
    <t>Zoltán Szántó</t>
  </si>
  <si>
    <t>CPS</t>
  </si>
  <si>
    <t>Cloud Platform Services</t>
  </si>
  <si>
    <t>Sonrisa</t>
  </si>
  <si>
    <t>186697</t>
  </si>
  <si>
    <t xml:space="preserve">Bayer </t>
  </si>
  <si>
    <t>Billable work</t>
  </si>
  <si>
    <t>Bálint Lajos Török</t>
  </si>
  <si>
    <t>husuzemnel innova server nem elerheto</t>
  </si>
  <si>
    <t>lio bura vm disk low 98% userd unused docker imagesk torlese, monitoringot atenztem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</si>
</sst>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/mm/dd;@"/>
    <numFmt numFmtId="165" formatCode="m/d/yyyy"/>
    <numFmt numFmtId="166" formatCode="General&quot; days&quot;"/>
    <numFmt numFmtId="167" formatCode="#,##0.000"/>
    <numFmt numFmtId="168" formatCode="yyyy\-mm\-dd"/>
  </numFmts>
  <fonts count="8">
    <font>
      <sz val="11"/>
      <color theme="1"/>
      <name val="Aptos Narrow"/>
      <family val="2"/>
      <charset val="238"/>
    </font>
    <font>
      <b/>
      <sz val="12"/>
      <color theme="1"/>
      <name val="Aptos Narrow"/>
      <family val="2"/>
      <charset val="238"/>
    </font>
    <font>
      <b/>
      <sz val="11"/>
      <color theme="1"/>
      <name val="Aptos Narrow"/>
      <family val="2"/>
      <charset val="238"/>
    </font>
    <font>
      <b/>
      <sz val="11"/>
      <color theme="1"/>
      <name val="Aptos Narrow"/>
      <charset val="1"/>
    </font>
    <font>
      <b/>
      <sz val="11"/>
      <color theme="1"/>
      <name val="Aptos Narrow"/>
      <family val="2"/>
      <charset val="1"/>
    </font>
    <font>
      <sz val="18"/>
      <color theme="1"/>
      <name val="Arial"/>
      <family val="2"/>
      <charset val="238"/>
    </font>
    <font>
      <b/>
      <sz val="10"/>
      <name val="Arial"/>
      <family val="2"/>
      <charset val="238"/>
    </font>
    <font>
      <sz val="11"/>
      <color rgb="FF000000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6" tint="0.79989013336588644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C0C0C0"/>
        <bgColor rgb="FFBFBFBF"/>
      </patternFill>
    </fill>
  </fills>
  <borders count="2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0" fillId="3" borderId="4" xfId="0" applyFill="1" applyBorder="1"/>
    <xf numFmtId="0" fontId="2" fillId="0" borderId="5" xfId="0" applyFon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3" borderId="4" xfId="0" applyFill="1" applyBorder="1" applyAlignment="1">
      <alignment vertical="center"/>
    </xf>
    <xf numFmtId="164" fontId="0" fillId="0" borderId="3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3" borderId="0" xfId="0" applyFill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0" fillId="3" borderId="0" xfId="0" applyFill="1"/>
    <xf numFmtId="164" fontId="0" fillId="0" borderId="8" xfId="0" applyNumberFormat="1" applyBorder="1" applyAlignment="1">
      <alignment horizontal="right" vertical="center"/>
    </xf>
    <xf numFmtId="49" fontId="0" fillId="0" borderId="10" xfId="0" applyNumberFormat="1" applyBorder="1" applyAlignment="1">
      <alignment horizontal="right" vertical="center"/>
    </xf>
    <xf numFmtId="165" fontId="0" fillId="0" borderId="10" xfId="0" applyNumberFormat="1" applyBorder="1" applyAlignment="1">
      <alignment horizontal="right" vertical="center"/>
    </xf>
    <xf numFmtId="165" fontId="0" fillId="0" borderId="8" xfId="0" applyNumberFormat="1" applyBorder="1" applyAlignment="1">
      <alignment horizontal="right" vertical="center"/>
    </xf>
    <xf numFmtId="0" fontId="0" fillId="3" borderId="8" xfId="0" applyFill="1" applyBorder="1"/>
    <xf numFmtId="166" fontId="0" fillId="0" borderId="10" xfId="0" applyNumberForma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3" borderId="13" xfId="0" applyFill="1" applyBorder="1" applyAlignment="1">
      <alignment vertical="center"/>
    </xf>
    <xf numFmtId="0" fontId="2" fillId="0" borderId="14" xfId="0" applyFont="1" applyBorder="1" applyAlignment="1">
      <alignment horizontal="right" vertical="center"/>
    </xf>
    <xf numFmtId="165" fontId="0" fillId="0" borderId="12" xfId="0" applyNumberFormat="1" applyBorder="1" applyAlignment="1">
      <alignment horizontal="right" vertical="center"/>
    </xf>
    <xf numFmtId="0" fontId="0" fillId="3" borderId="13" xfId="0" applyFill="1" applyBorder="1"/>
    <xf numFmtId="0" fontId="0" fillId="0" borderId="12" xfId="0" applyBorder="1" applyAlignment="1">
      <alignment horizontal="center" vertical="center"/>
    </xf>
    <xf numFmtId="0" fontId="0" fillId="3" borderId="14" xfId="0" applyFill="1" applyBorder="1"/>
    <xf numFmtId="0" fontId="0" fillId="3" borderId="12" xfId="0" applyFill="1" applyBorder="1"/>
    <xf numFmtId="0" fontId="2" fillId="0" borderId="13" xfId="0" applyFont="1" applyBorder="1" applyAlignment="1">
      <alignment horizontal="right" vertical="center"/>
    </xf>
    <xf numFmtId="164" fontId="0" fillId="0" borderId="15" xfId="0" applyNumberFormat="1" applyBorder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6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4" fontId="4" fillId="0" borderId="10" xfId="0" applyNumberFormat="1" applyFont="1" applyBorder="1" applyAlignment="1">
      <alignment horizontal="right" vertical="center"/>
    </xf>
    <xf numFmtId="4" fontId="4" fillId="0" borderId="20" xfId="0" applyNumberFormat="1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5" fillId="4" borderId="0" xfId="0" applyFont="1" applyFill="1" applyAlignment="1">
      <alignment horizontal="left"/>
    </xf>
    <xf numFmtId="0" fontId="0" fillId="4" borderId="0" xfId="0" applyFill="1"/>
    <xf numFmtId="0" fontId="6" fillId="5" borderId="0" xfId="0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65" fontId="7" fillId="0" borderId="0" xfId="0" applyNumberFormat="1" applyFont="1"/>
    <xf numFmtId="168" fontId="7" fillId="0" borderId="0" xfId="0" applyNumberFormat="1" applyFont="1"/>
    <xf numFmtId="0" fontId="4" fillId="0" borderId="19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6" xfId="0" applyBorder="1" applyAlignment="1"/>
    <xf numFmtId="0" fontId="0" fillId="0" borderId="2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topLeftCell="C1" zoomScaleNormal="100" workbookViewId="0">
      <selection activeCell="M10" sqref="M10"/>
    </sheetView>
  </sheetViews>
  <sheetFormatPr defaultColWidth="8.85546875" defaultRowHeight="14.45"/>
  <cols>
    <col min="1" max="1" width="19.85546875" customWidth="1"/>
    <col min="2" max="2" width="35.42578125" customWidth="1"/>
    <col min="3" max="3" width="21.28515625" customWidth="1"/>
    <col min="4" max="4" width="25.42578125" customWidth="1"/>
    <col min="5" max="5" width="32.7109375" customWidth="1"/>
    <col min="7" max="7" width="7.7109375" customWidth="1"/>
    <col min="8" max="8" width="21.85546875" customWidth="1"/>
    <col min="9" max="9" width="13.28515625" customWidth="1"/>
    <col min="10" max="10" width="10" customWidth="1"/>
    <col min="11" max="11" width="8.28515625" customWidth="1"/>
    <col min="12" max="12" width="20.42578125" customWidth="1"/>
    <col min="13" max="13" width="23.7109375" customWidth="1"/>
  </cols>
  <sheetData>
    <row r="1" spans="1:13" ht="46.5" customHeight="1">
      <c r="A1" s="56" t="str">
        <f>CONCATENATE(B4," /  Delivery Period: ",YEAR(I2),MONTH(I2),DAY(I2)," - ",YEAR(I3),MONTH(I3),DAY(I3)," / Invoice#: ",M2," ",M3)</f>
        <v xml:space="preserve">BAYER /  Delivery Period: 202641 - 2026430 / Invoice#:  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</row>
    <row r="2" spans="1:13" ht="15.75" customHeight="1">
      <c r="A2" s="1" t="s">
        <v>0</v>
      </c>
      <c r="B2" s="2" t="s">
        <v>1</v>
      </c>
      <c r="C2" s="3"/>
      <c r="D2" s="4" t="s">
        <v>2</v>
      </c>
      <c r="E2" s="5" t="s">
        <v>3</v>
      </c>
      <c r="F2" s="6"/>
      <c r="G2" s="3"/>
      <c r="H2" s="4" t="s">
        <v>4</v>
      </c>
      <c r="I2" s="7">
        <v>46113</v>
      </c>
      <c r="J2" s="3"/>
      <c r="K2" s="3"/>
      <c r="L2" s="4" t="s">
        <v>5</v>
      </c>
      <c r="M2" s="8"/>
    </row>
    <row r="3" spans="1:13" ht="15.75" customHeight="1">
      <c r="A3" s="9" t="s">
        <v>6</v>
      </c>
      <c r="B3" s="10" t="s">
        <v>7</v>
      </c>
      <c r="C3" s="11"/>
      <c r="D3" s="12" t="s">
        <v>8</v>
      </c>
      <c r="E3" s="10" t="s">
        <v>9</v>
      </c>
      <c r="F3" s="11"/>
      <c r="G3" s="13"/>
      <c r="H3" s="12" t="s">
        <v>10</v>
      </c>
      <c r="I3" s="14">
        <v>46142</v>
      </c>
      <c r="J3" s="13"/>
      <c r="K3" s="13"/>
      <c r="L3" s="12" t="s">
        <v>11</v>
      </c>
      <c r="M3" s="15"/>
    </row>
    <row r="4" spans="1:13" ht="15.75" customHeight="1">
      <c r="A4" s="9" t="s">
        <v>12</v>
      </c>
      <c r="B4" s="10" t="s">
        <v>13</v>
      </c>
      <c r="C4" s="11"/>
      <c r="D4" s="12" t="s">
        <v>14</v>
      </c>
      <c r="E4" s="10" t="s">
        <v>15</v>
      </c>
      <c r="F4" s="11"/>
      <c r="G4" s="13"/>
      <c r="H4" s="12" t="s">
        <v>16</v>
      </c>
      <c r="I4" s="7">
        <v>46113</v>
      </c>
      <c r="J4" s="13"/>
      <c r="K4" s="13"/>
      <c r="L4" s="12" t="s">
        <v>17</v>
      </c>
      <c r="M4" s="16"/>
    </row>
    <row r="5" spans="1:13" ht="15" customHeight="1">
      <c r="A5" s="9" t="s">
        <v>18</v>
      </c>
      <c r="B5" s="10" t="s">
        <v>7</v>
      </c>
      <c r="C5" s="11"/>
      <c r="D5" s="12" t="s">
        <v>19</v>
      </c>
      <c r="E5" s="17" t="s">
        <v>9</v>
      </c>
      <c r="F5" s="11"/>
      <c r="G5" s="13"/>
      <c r="H5" s="12" t="s">
        <v>20</v>
      </c>
      <c r="I5" s="10"/>
      <c r="J5" s="13"/>
      <c r="K5" s="18"/>
      <c r="L5" s="12" t="s">
        <v>21</v>
      </c>
      <c r="M5" s="19">
        <v>30</v>
      </c>
    </row>
    <row r="6" spans="1:13" ht="15.75" customHeight="1">
      <c r="A6" s="20" t="s">
        <v>22</v>
      </c>
      <c r="B6" s="21"/>
      <c r="C6" s="22"/>
      <c r="D6" s="23" t="s">
        <v>23</v>
      </c>
      <c r="E6" s="24">
        <v>46147</v>
      </c>
      <c r="F6" s="22"/>
      <c r="G6" s="25"/>
      <c r="H6" s="23" t="s">
        <v>24</v>
      </c>
      <c r="I6" s="26"/>
      <c r="J6" s="27"/>
      <c r="K6" s="28"/>
      <c r="L6" s="29" t="s">
        <v>25</v>
      </c>
      <c r="M6" s="30"/>
    </row>
    <row r="7" spans="1:13" ht="15.75" customHeight="1">
      <c r="C7" s="31"/>
      <c r="F7" s="31"/>
      <c r="L7" s="32"/>
      <c r="M7" s="33"/>
    </row>
    <row r="8" spans="1:13" ht="15.75" customHeight="1"/>
    <row r="9" spans="1:13" ht="45.75" customHeight="1">
      <c r="A9" s="34" t="s">
        <v>26</v>
      </c>
      <c r="B9" s="35" t="s">
        <v>27</v>
      </c>
      <c r="C9" s="35" t="s">
        <v>28</v>
      </c>
      <c r="D9" s="35" t="s">
        <v>29</v>
      </c>
      <c r="E9" s="36" t="s">
        <v>30</v>
      </c>
      <c r="F9" s="35" t="s">
        <v>31</v>
      </c>
      <c r="G9" s="35" t="s">
        <v>32</v>
      </c>
      <c r="H9" s="36" t="s">
        <v>33</v>
      </c>
      <c r="I9" s="36" t="s">
        <v>34</v>
      </c>
      <c r="J9" s="36" t="s">
        <v>35</v>
      </c>
      <c r="K9" s="35" t="s">
        <v>36</v>
      </c>
      <c r="L9" s="35" t="s">
        <v>37</v>
      </c>
      <c r="M9" s="37" t="s">
        <v>38</v>
      </c>
    </row>
    <row r="10" spans="1:13" ht="15" customHeight="1">
      <c r="A10" s="38">
        <f>ROW() - 9</f>
        <v>1</v>
      </c>
      <c r="B10" s="39" t="s">
        <v>39</v>
      </c>
      <c r="C10" s="39" t="s">
        <v>40</v>
      </c>
      <c r="D10" s="39" t="s">
        <v>41</v>
      </c>
      <c r="E10" s="39" t="s">
        <v>42</v>
      </c>
      <c r="F10" s="39"/>
      <c r="G10" s="39">
        <v>133.5</v>
      </c>
      <c r="H10" s="39" t="s">
        <v>43</v>
      </c>
      <c r="I10" s="40">
        <v>71.38</v>
      </c>
      <c r="J10" s="41">
        <v>0.02</v>
      </c>
      <c r="K10" s="39" t="s">
        <v>44</v>
      </c>
      <c r="L10" s="42">
        <v>1</v>
      </c>
      <c r="M10" s="43">
        <f>G10*I10*L10*(1-J10)</f>
        <v>9338.6453999999994</v>
      </c>
    </row>
    <row r="11" spans="1:13" ht="15" customHeight="1">
      <c r="A11" s="38">
        <f>ROW() - 9</f>
        <v>2</v>
      </c>
      <c r="B11" s="39" t="s">
        <v>45</v>
      </c>
      <c r="C11" s="39" t="s">
        <v>46</v>
      </c>
      <c r="D11" s="39" t="s">
        <v>47</v>
      </c>
      <c r="E11" s="39" t="s">
        <v>48</v>
      </c>
      <c r="F11" s="39"/>
      <c r="G11" s="39">
        <v>4</v>
      </c>
      <c r="H11" s="39" t="s">
        <v>43</v>
      </c>
      <c r="I11" s="40">
        <v>56.25</v>
      </c>
      <c r="J11" s="41">
        <v>0.02</v>
      </c>
      <c r="K11" s="39" t="s">
        <v>44</v>
      </c>
      <c r="L11" s="42">
        <v>1</v>
      </c>
      <c r="M11" s="43">
        <f>G11*I11*L11*(1-J11)</f>
        <v>220.5</v>
      </c>
    </row>
    <row r="12" spans="1:13" ht="15" customHeight="1">
      <c r="A12" s="38">
        <f>ROW() - 9</f>
        <v>3</v>
      </c>
      <c r="B12" s="39"/>
      <c r="C12" s="39"/>
      <c r="D12" s="39"/>
      <c r="E12" s="39"/>
      <c r="F12" s="39"/>
      <c r="G12" s="39"/>
      <c r="H12" s="39"/>
      <c r="I12" s="40"/>
      <c r="J12" s="41"/>
      <c r="K12" s="39"/>
      <c r="L12" s="42"/>
      <c r="M12" s="43">
        <f>G12*I12*L12*(1-J12)</f>
        <v>0</v>
      </c>
    </row>
    <row r="13" spans="1:13" ht="15.75" customHeight="1">
      <c r="A13" s="38">
        <f>ROW() - 9</f>
        <v>4</v>
      </c>
      <c r="B13" s="39"/>
      <c r="C13" s="39"/>
      <c r="D13" s="39"/>
      <c r="E13" s="39"/>
      <c r="F13" s="39"/>
      <c r="G13" s="39"/>
      <c r="H13" s="39"/>
      <c r="I13" s="40"/>
      <c r="J13" s="41"/>
      <c r="K13" s="39"/>
      <c r="L13" s="42"/>
      <c r="M13" s="43">
        <f>G13*I13*L13*(1-J13)</f>
        <v>0</v>
      </c>
    </row>
    <row r="14" spans="1:13" ht="16.5" customHeight="1">
      <c r="A14" s="55" t="s">
        <v>49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44">
        <f>SUM(M10:M13)</f>
        <v>9559.1453999999994</v>
      </c>
    </row>
    <row r="17" spans="1:13" ht="15" customHeight="1">
      <c r="A17" s="33"/>
      <c r="B17" s="33"/>
      <c r="D17" s="45"/>
      <c r="E17" s="46"/>
    </row>
    <row r="18" spans="1:13" ht="15" customHeight="1">
      <c r="D18" s="45"/>
      <c r="E18" s="46"/>
      <c r="L18" s="32"/>
      <c r="M18" s="47"/>
    </row>
    <row r="20" spans="1:13" ht="15" customHeight="1">
      <c r="D20" s="45"/>
    </row>
  </sheetData>
  <mergeCells count="2">
    <mergeCell ref="A14:L14"/>
    <mergeCell ref="A1:M1"/>
  </mergeCells>
  <dataValidations count="1">
    <dataValidation type="list" showInputMessage="1" showErrorMessage="1" sqref="I6" xr:uid="{00000000-0002-0000-0000-000000000000}">
      <formula1>"--,project,continous"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zoomScaleNormal="100" workbookViewId="0">
      <selection activeCell="L39" sqref="L39"/>
    </sheetView>
  </sheetViews>
  <sheetFormatPr defaultColWidth="8.5703125" defaultRowHeight="14.45"/>
  <cols>
    <col min="1" max="1" width="27.42578125" customWidth="1"/>
    <col min="2" max="2" width="21" customWidth="1"/>
    <col min="3" max="3" width="21.5703125" customWidth="1"/>
    <col min="4" max="4" width="14.7109375" customWidth="1"/>
    <col min="5" max="5" width="21" customWidth="1"/>
    <col min="6" max="6" width="20.5703125" customWidth="1"/>
    <col min="7" max="7" width="13.42578125" customWidth="1"/>
    <col min="8" max="8" width="10.5703125" customWidth="1"/>
    <col min="9" max="9" width="17.28515625" customWidth="1"/>
  </cols>
  <sheetData>
    <row r="1" spans="1:12" ht="23.25" customHeight="1">
      <c r="A1" s="48" t="s">
        <v>50</v>
      </c>
      <c r="B1" s="49"/>
      <c r="C1" s="49"/>
      <c r="D1" s="49"/>
      <c r="E1" s="49"/>
      <c r="F1" s="49"/>
      <c r="G1" s="49"/>
      <c r="H1" s="49"/>
      <c r="I1" s="49"/>
      <c r="J1" s="49"/>
    </row>
    <row r="4" spans="1:12" ht="15" customHeight="1">
      <c r="A4" s="50" t="s">
        <v>51</v>
      </c>
      <c r="B4" s="50" t="s">
        <v>52</v>
      </c>
      <c r="C4" s="50" t="s">
        <v>53</v>
      </c>
      <c r="D4" s="50" t="s">
        <v>54</v>
      </c>
      <c r="E4" s="50" t="s">
        <v>55</v>
      </c>
      <c r="F4" s="50" t="s">
        <v>56</v>
      </c>
      <c r="G4" s="50" t="s">
        <v>57</v>
      </c>
      <c r="H4" s="50" t="s">
        <v>58</v>
      </c>
      <c r="I4" s="50" t="s">
        <v>59</v>
      </c>
      <c r="J4" s="50" t="s">
        <v>60</v>
      </c>
      <c r="K4" s="50" t="s">
        <v>61</v>
      </c>
      <c r="L4" s="50" t="s">
        <v>62</v>
      </c>
    </row>
    <row r="5" spans="1:12" ht="15" customHeight="1">
      <c r="A5" s="51" t="s">
        <v>63</v>
      </c>
      <c r="B5" s="52" t="s">
        <v>64</v>
      </c>
      <c r="C5" s="51" t="s">
        <v>65</v>
      </c>
      <c r="D5" s="51" t="s">
        <v>66</v>
      </c>
      <c r="E5" s="51" t="s">
        <v>67</v>
      </c>
      <c r="F5" s="51" t="s">
        <v>68</v>
      </c>
      <c r="G5" s="51"/>
      <c r="H5" s="54">
        <v>46113</v>
      </c>
      <c r="I5" s="51"/>
      <c r="J5" s="51"/>
      <c r="K5" s="51">
        <v>8</v>
      </c>
      <c r="L5" s="51" t="s">
        <v>69</v>
      </c>
    </row>
    <row r="6" spans="1:12" ht="15" customHeight="1">
      <c r="A6" s="51" t="s">
        <v>63</v>
      </c>
      <c r="B6" s="52" t="s">
        <v>64</v>
      </c>
      <c r="C6" s="51" t="s">
        <v>65</v>
      </c>
      <c r="D6" s="51" t="s">
        <v>66</v>
      </c>
      <c r="E6" s="51" t="s">
        <v>67</v>
      </c>
      <c r="F6" s="51" t="s">
        <v>68</v>
      </c>
      <c r="G6" s="51"/>
      <c r="H6" s="54">
        <v>46114</v>
      </c>
      <c r="I6" s="51"/>
      <c r="J6" s="51"/>
      <c r="K6" s="51">
        <v>8</v>
      </c>
      <c r="L6" s="51" t="s">
        <v>69</v>
      </c>
    </row>
    <row r="7" spans="1:12" ht="15" customHeight="1">
      <c r="A7" s="51" t="s">
        <v>63</v>
      </c>
      <c r="B7" s="52" t="s">
        <v>64</v>
      </c>
      <c r="C7" s="51" t="s">
        <v>65</v>
      </c>
      <c r="D7" s="51" t="s">
        <v>66</v>
      </c>
      <c r="E7" s="51" t="s">
        <v>67</v>
      </c>
      <c r="F7" s="51" t="s">
        <v>68</v>
      </c>
      <c r="G7" s="51"/>
      <c r="H7" s="54">
        <v>46119</v>
      </c>
      <c r="I7" s="51"/>
      <c r="J7" s="51"/>
      <c r="K7" s="51">
        <v>8</v>
      </c>
      <c r="L7" s="51" t="s">
        <v>69</v>
      </c>
    </row>
    <row r="8" spans="1:12" ht="15" customHeight="1">
      <c r="A8" s="51" t="s">
        <v>70</v>
      </c>
      <c r="B8" s="52" t="s">
        <v>64</v>
      </c>
      <c r="C8" s="51" t="s">
        <v>65</v>
      </c>
      <c r="D8" s="51" t="s">
        <v>66</v>
      </c>
      <c r="E8" s="51" t="s">
        <v>67</v>
      </c>
      <c r="F8" s="51" t="s">
        <v>68</v>
      </c>
      <c r="G8" s="51" t="s">
        <v>71</v>
      </c>
      <c r="H8" s="54">
        <v>46120</v>
      </c>
      <c r="I8" s="51"/>
      <c r="J8" s="51"/>
      <c r="K8" s="51">
        <v>2</v>
      </c>
      <c r="L8" s="51" t="s">
        <v>69</v>
      </c>
    </row>
    <row r="9" spans="1:12" ht="15" customHeight="1">
      <c r="A9" s="51" t="s">
        <v>63</v>
      </c>
      <c r="B9" s="52" t="s">
        <v>64</v>
      </c>
      <c r="C9" s="51" t="s">
        <v>65</v>
      </c>
      <c r="D9" s="51" t="s">
        <v>66</v>
      </c>
      <c r="E9" s="51" t="s">
        <v>67</v>
      </c>
      <c r="F9" s="51" t="s">
        <v>68</v>
      </c>
      <c r="G9" s="51"/>
      <c r="H9" s="54">
        <v>46120</v>
      </c>
      <c r="I9" s="51"/>
      <c r="J9" s="51"/>
      <c r="K9" s="51">
        <v>8</v>
      </c>
      <c r="L9" s="51" t="s">
        <v>69</v>
      </c>
    </row>
    <row r="10" spans="1:12" ht="15" customHeight="1">
      <c r="A10" s="51" t="s">
        <v>70</v>
      </c>
      <c r="B10" s="52" t="s">
        <v>64</v>
      </c>
      <c r="C10" s="51" t="s">
        <v>65</v>
      </c>
      <c r="D10" s="51" t="s">
        <v>66</v>
      </c>
      <c r="E10" s="51" t="s">
        <v>67</v>
      </c>
      <c r="F10" s="51" t="s">
        <v>68</v>
      </c>
      <c r="G10" s="51" t="s">
        <v>72</v>
      </c>
      <c r="H10" s="54">
        <v>46122</v>
      </c>
      <c r="I10" s="51"/>
      <c r="J10" s="51"/>
      <c r="K10" s="51">
        <v>2</v>
      </c>
      <c r="L10" s="51" t="s">
        <v>69</v>
      </c>
    </row>
    <row r="11" spans="1:12" ht="15" customHeight="1">
      <c r="A11" s="51" t="s">
        <v>63</v>
      </c>
      <c r="B11" s="52" t="s">
        <v>64</v>
      </c>
      <c r="C11" s="51" t="s">
        <v>65</v>
      </c>
      <c r="D11" s="51" t="s">
        <v>66</v>
      </c>
      <c r="E11" s="51" t="s">
        <v>67</v>
      </c>
      <c r="F11" s="51" t="s">
        <v>68</v>
      </c>
      <c r="G11" s="51"/>
      <c r="H11" s="54">
        <v>46125</v>
      </c>
      <c r="I11" s="51"/>
      <c r="J11" s="51"/>
      <c r="K11" s="51">
        <v>8</v>
      </c>
      <c r="L11" s="51" t="s">
        <v>69</v>
      </c>
    </row>
    <row r="12" spans="1:12" ht="15" customHeight="1">
      <c r="A12" s="51" t="s">
        <v>63</v>
      </c>
      <c r="B12" s="52" t="s">
        <v>64</v>
      </c>
      <c r="C12" s="51" t="s">
        <v>65</v>
      </c>
      <c r="D12" s="51" t="s">
        <v>66</v>
      </c>
      <c r="E12" s="51" t="s">
        <v>67</v>
      </c>
      <c r="F12" s="51" t="s">
        <v>68</v>
      </c>
      <c r="G12" s="51"/>
      <c r="H12" s="54">
        <v>46126</v>
      </c>
      <c r="I12" s="51"/>
      <c r="J12" s="51"/>
      <c r="K12" s="51">
        <v>8</v>
      </c>
      <c r="L12" s="51" t="s">
        <v>69</v>
      </c>
    </row>
    <row r="13" spans="1:12" ht="15" customHeight="1">
      <c r="A13" s="51" t="s">
        <v>63</v>
      </c>
      <c r="B13" s="52" t="s">
        <v>64</v>
      </c>
      <c r="C13" s="51" t="s">
        <v>65</v>
      </c>
      <c r="D13" s="51" t="s">
        <v>66</v>
      </c>
      <c r="E13" s="51" t="s">
        <v>67</v>
      </c>
      <c r="F13" s="51" t="s">
        <v>68</v>
      </c>
      <c r="G13" s="51"/>
      <c r="H13" s="54">
        <v>46127</v>
      </c>
      <c r="I13" s="51"/>
      <c r="J13" s="51"/>
      <c r="K13" s="51">
        <v>8</v>
      </c>
      <c r="L13" s="51" t="s">
        <v>69</v>
      </c>
    </row>
    <row r="14" spans="1:12" ht="15" customHeight="1">
      <c r="A14" s="51" t="s">
        <v>63</v>
      </c>
      <c r="B14" s="52" t="s">
        <v>64</v>
      </c>
      <c r="C14" s="51" t="s">
        <v>65</v>
      </c>
      <c r="D14" s="51" t="s">
        <v>66</v>
      </c>
      <c r="E14" s="51" t="s">
        <v>67</v>
      </c>
      <c r="F14" s="51" t="s">
        <v>68</v>
      </c>
      <c r="G14" s="51"/>
      <c r="H14" s="54">
        <v>46128</v>
      </c>
      <c r="I14" s="51"/>
      <c r="J14" s="51"/>
      <c r="K14" s="51">
        <v>7</v>
      </c>
      <c r="L14" s="51" t="s">
        <v>69</v>
      </c>
    </row>
    <row r="15" spans="1:12" ht="15" customHeight="1">
      <c r="A15" s="51" t="s">
        <v>63</v>
      </c>
      <c r="B15" s="52" t="s">
        <v>64</v>
      </c>
      <c r="C15" s="51" t="s">
        <v>65</v>
      </c>
      <c r="D15" s="51" t="s">
        <v>66</v>
      </c>
      <c r="E15" s="51" t="s">
        <v>67</v>
      </c>
      <c r="F15" s="51" t="s">
        <v>68</v>
      </c>
      <c r="G15" s="51"/>
      <c r="H15" s="54">
        <v>46129</v>
      </c>
      <c r="I15" s="51"/>
      <c r="J15" s="51"/>
      <c r="K15" s="51">
        <v>8</v>
      </c>
      <c r="L15" s="51" t="s">
        <v>69</v>
      </c>
    </row>
    <row r="16" spans="1:12" ht="15" customHeight="1">
      <c r="A16" s="51" t="s">
        <v>63</v>
      </c>
      <c r="B16" s="52" t="s">
        <v>64</v>
      </c>
      <c r="C16" s="51" t="s">
        <v>65</v>
      </c>
      <c r="D16" s="51" t="s">
        <v>66</v>
      </c>
      <c r="E16" s="51" t="s">
        <v>67</v>
      </c>
      <c r="F16" s="51" t="s">
        <v>68</v>
      </c>
      <c r="G16" s="51"/>
      <c r="H16" s="54">
        <v>46132</v>
      </c>
      <c r="I16" s="51"/>
      <c r="J16" s="51"/>
      <c r="K16" s="51">
        <v>6.5</v>
      </c>
      <c r="L16" s="51" t="s">
        <v>69</v>
      </c>
    </row>
    <row r="17" spans="1:12" ht="15" customHeight="1">
      <c r="A17" s="51" t="s">
        <v>63</v>
      </c>
      <c r="B17" s="52" t="s">
        <v>64</v>
      </c>
      <c r="C17" s="51" t="s">
        <v>65</v>
      </c>
      <c r="D17" s="51" t="s">
        <v>66</v>
      </c>
      <c r="E17" s="51" t="s">
        <v>67</v>
      </c>
      <c r="F17" s="51" t="s">
        <v>68</v>
      </c>
      <c r="G17" s="51"/>
      <c r="H17" s="54">
        <v>46133</v>
      </c>
      <c r="I17" s="51"/>
      <c r="J17" s="51"/>
      <c r="K17" s="51">
        <v>8</v>
      </c>
      <c r="L17" s="51" t="s">
        <v>69</v>
      </c>
    </row>
    <row r="18" spans="1:12" ht="15" customHeight="1">
      <c r="A18" s="51" t="s">
        <v>63</v>
      </c>
      <c r="B18" s="52" t="s">
        <v>64</v>
      </c>
      <c r="C18" s="51" t="s">
        <v>65</v>
      </c>
      <c r="D18" s="51" t="s">
        <v>66</v>
      </c>
      <c r="E18" s="51" t="s">
        <v>67</v>
      </c>
      <c r="F18" s="51" t="s">
        <v>68</v>
      </c>
      <c r="G18" s="51"/>
      <c r="H18" s="54">
        <v>46134</v>
      </c>
      <c r="I18" s="51"/>
      <c r="J18" s="51"/>
      <c r="K18" s="51">
        <v>8</v>
      </c>
      <c r="L18" s="51" t="s">
        <v>69</v>
      </c>
    </row>
    <row r="19" spans="1:12" ht="15" customHeight="1">
      <c r="A19" s="51" t="s">
        <v>63</v>
      </c>
      <c r="B19" s="52" t="s">
        <v>64</v>
      </c>
      <c r="C19" s="51" t="s">
        <v>65</v>
      </c>
      <c r="D19" s="51" t="s">
        <v>66</v>
      </c>
      <c r="E19" s="51" t="s">
        <v>67</v>
      </c>
      <c r="F19" s="51" t="s">
        <v>68</v>
      </c>
      <c r="G19" s="51"/>
      <c r="H19" s="54">
        <v>46135</v>
      </c>
      <c r="I19" s="51"/>
      <c r="J19" s="51"/>
      <c r="K19" s="51">
        <v>5</v>
      </c>
      <c r="L19" s="51" t="s">
        <v>69</v>
      </c>
    </row>
    <row r="20" spans="1:12" ht="15" customHeight="1">
      <c r="A20" s="51" t="s">
        <v>63</v>
      </c>
      <c r="B20" s="52" t="s">
        <v>64</v>
      </c>
      <c r="C20" s="51" t="s">
        <v>65</v>
      </c>
      <c r="D20" s="51" t="s">
        <v>66</v>
      </c>
      <c r="E20" s="51" t="s">
        <v>67</v>
      </c>
      <c r="F20" s="51" t="s">
        <v>68</v>
      </c>
      <c r="G20" s="51"/>
      <c r="H20" s="54">
        <v>46136</v>
      </c>
      <c r="I20" s="51"/>
      <c r="J20" s="51"/>
      <c r="K20" s="51">
        <v>4</v>
      </c>
      <c r="L20" s="51" t="s">
        <v>69</v>
      </c>
    </row>
    <row r="21" spans="1:12" ht="15" customHeight="1">
      <c r="A21" s="51" t="s">
        <v>63</v>
      </c>
      <c r="B21" s="52" t="s">
        <v>64</v>
      </c>
      <c r="C21" s="51" t="s">
        <v>65</v>
      </c>
      <c r="D21" s="51" t="s">
        <v>66</v>
      </c>
      <c r="E21" s="51" t="s">
        <v>67</v>
      </c>
      <c r="F21" s="51" t="s">
        <v>68</v>
      </c>
      <c r="G21" s="51"/>
      <c r="H21" s="54">
        <v>46139</v>
      </c>
      <c r="I21" s="51"/>
      <c r="J21" s="51"/>
      <c r="K21" s="51">
        <v>7</v>
      </c>
      <c r="L21" s="51" t="s">
        <v>69</v>
      </c>
    </row>
    <row r="22" spans="1:12" ht="15" customHeight="1">
      <c r="A22" s="51" t="s">
        <v>63</v>
      </c>
      <c r="B22" s="52" t="s">
        <v>64</v>
      </c>
      <c r="C22" s="51" t="s">
        <v>65</v>
      </c>
      <c r="D22" s="51" t="s">
        <v>66</v>
      </c>
      <c r="E22" s="51" t="s">
        <v>67</v>
      </c>
      <c r="F22" s="51" t="s">
        <v>68</v>
      </c>
      <c r="G22" s="51"/>
      <c r="H22" s="54">
        <v>46140</v>
      </c>
      <c r="I22" s="51"/>
      <c r="J22" s="51"/>
      <c r="K22" s="51">
        <v>8</v>
      </c>
      <c r="L22" s="51" t="s">
        <v>69</v>
      </c>
    </row>
    <row r="23" spans="1:12" ht="15" customHeight="1">
      <c r="A23" s="51" t="s">
        <v>63</v>
      </c>
      <c r="B23" s="52" t="s">
        <v>64</v>
      </c>
      <c r="C23" s="51" t="s">
        <v>65</v>
      </c>
      <c r="D23" s="51" t="s">
        <v>66</v>
      </c>
      <c r="E23" s="51" t="s">
        <v>67</v>
      </c>
      <c r="F23" s="51" t="s">
        <v>68</v>
      </c>
      <c r="G23" s="51"/>
      <c r="H23" s="54">
        <v>46141</v>
      </c>
      <c r="I23" s="51"/>
      <c r="J23" s="51"/>
      <c r="K23" s="51">
        <v>8</v>
      </c>
      <c r="L23" s="51" t="s">
        <v>69</v>
      </c>
    </row>
    <row r="24" spans="1:12" ht="15" customHeight="1">
      <c r="A24" s="51" t="s">
        <v>63</v>
      </c>
      <c r="B24" s="52" t="s">
        <v>64</v>
      </c>
      <c r="C24" s="51" t="s">
        <v>65</v>
      </c>
      <c r="D24" s="51" t="s">
        <v>66</v>
      </c>
      <c r="E24" s="51" t="s">
        <v>67</v>
      </c>
      <c r="F24" s="51" t="s">
        <v>68</v>
      </c>
      <c r="G24" s="51"/>
      <c r="H24" s="54">
        <v>46142</v>
      </c>
      <c r="I24" s="51"/>
      <c r="J24" s="51"/>
      <c r="K24" s="51">
        <v>8</v>
      </c>
      <c r="L24" s="51" t="s">
        <v>69</v>
      </c>
    </row>
    <row r="25" spans="1:12" ht="15" customHeight="1">
      <c r="A25" s="51"/>
      <c r="B25" s="52"/>
      <c r="C25" s="51"/>
      <c r="D25" s="51"/>
      <c r="E25" s="51"/>
      <c r="F25" s="51"/>
      <c r="G25" s="51"/>
      <c r="H25" s="53"/>
      <c r="I25" s="51"/>
      <c r="J25" s="51"/>
      <c r="K25" s="51"/>
      <c r="L25" s="51"/>
    </row>
    <row r="26" spans="1:12" ht="15" customHeight="1">
      <c r="A26" s="51"/>
      <c r="B26" s="52"/>
      <c r="C26" s="51"/>
      <c r="D26" s="51"/>
      <c r="E26" s="51"/>
      <c r="F26" s="51"/>
      <c r="G26" s="51"/>
      <c r="H26" s="53"/>
      <c r="I26" s="51"/>
      <c r="J26" s="51"/>
      <c r="K26" s="51"/>
      <c r="L26" s="51"/>
    </row>
    <row r="27" spans="1:12" ht="15" customHeight="1">
      <c r="A27" s="51"/>
      <c r="B27" s="52"/>
      <c r="C27" s="51"/>
      <c r="D27" s="51"/>
      <c r="E27" s="51"/>
      <c r="F27" s="51"/>
      <c r="G27" s="51"/>
      <c r="H27" s="53"/>
      <c r="I27" s="51"/>
      <c r="J27" s="51"/>
      <c r="K27" s="51"/>
      <c r="L27" s="51"/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AF42B9205BA24EA74F5088E7932A82" ma:contentTypeVersion="18" ma:contentTypeDescription="Create a new document." ma:contentTypeScope="" ma:versionID="1102fccaa864137ab576d6a001643fb3">
  <xsd:schema xmlns:xsd="http://www.w3.org/2001/XMLSchema" xmlns:xs="http://www.w3.org/2001/XMLSchema" xmlns:p="http://schemas.microsoft.com/office/2006/metadata/properties" xmlns:ns2="08577340-40a4-4b8a-bcfe-70853806caeb" xmlns:ns3="9729fa88-1fae-45bf-98b9-809b530d3340" targetNamespace="http://schemas.microsoft.com/office/2006/metadata/properties" ma:root="true" ma:fieldsID="07453ac11a3b343273c171ac2652e344" ns2:_="" ns3:_="">
    <xsd:import namespace="08577340-40a4-4b8a-bcfe-70853806caeb"/>
    <xsd:import namespace="9729fa88-1fae-45bf-98b9-809b530d33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577340-40a4-4b8a-bcfe-70853806ca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1779ecb-b77e-4be4-9dfa-3fb870ed7a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29fa88-1fae-45bf-98b9-809b530d334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892c9f9-ae64-4b6a-a17c-2b47e4637918}" ma:internalName="TaxCatchAll" ma:showField="CatchAllData" ma:web="9729fa88-1fae-45bf-98b9-809b530d33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29fa88-1fae-45bf-98b9-809b530d3340" xsi:nil="true"/>
    <lcf76f155ced4ddcb4097134ff3c332f xmlns="08577340-40a4-4b8a-bcfe-70853806cae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5901C8-BFCA-439F-A8F2-EDB78FEA3C35}"/>
</file>

<file path=customXml/itemProps2.xml><?xml version="1.0" encoding="utf-8"?>
<ds:datastoreItem xmlns:ds="http://schemas.openxmlformats.org/officeDocument/2006/customXml" ds:itemID="{2444823B-8FF3-4CDA-B1CE-163CF365EF3B}"/>
</file>

<file path=customXml/itemProps3.xml><?xml version="1.0" encoding="utf-8"?>
<ds:datastoreItem xmlns:ds="http://schemas.openxmlformats.org/officeDocument/2006/customXml" ds:itemID="{9781418A-78C3-4099-B032-F16F60AC09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Balázs Kalmár</dc:creator>
  <cp:keywords/>
  <dc:description/>
  <cp:lastModifiedBy/>
  <cp:revision>0</cp:revision>
  <dcterms:created xsi:type="dcterms:W3CDTF">2024-12-04T15:01:10Z</dcterms:created>
  <dcterms:modified xsi:type="dcterms:W3CDTF">2026-06-04T04:12:53Z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0x010100A3AF42B9205BA24EA74F5088E7932A82</vt:lpwstr>
  </property>
  <property fmtid="{D5CDD505-2E9C-101B-9397-08002B2CF9AE}" pid="3" name="Generator">
    <vt:lpwstr>NPOI</vt:lpwstr>
  </property>
  <property fmtid="{D5CDD505-2E9C-101B-9397-08002B2CF9AE}" pid="4" name="Generator Version">
    <vt:lpwstr>2.7.3</vt:lpwstr>
  </property>
  <property fmtid="{D5CDD505-2E9C-101B-9397-08002B2CF9AE}" pid="5" name="MediaServiceImageTags">
    <vt:lpwstr/>
  </property>
</Properties>
</file>