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s read" sheetId="1" r:id="rId4"/>
    <sheet state="visible" name="Weight statistics" sheetId="2" r:id="rId5"/>
    <sheet state="visible" name="Carnivore Weight" sheetId="3" r:id="rId6"/>
    <sheet state="visible" name="Sheet6" sheetId="4" r:id="rId7"/>
    <sheet state="visible" name="Chart1 Books Read Per Year by L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3">
      <text>
        <t xml:space="preserve">Futás</t>
      </text>
    </comment>
    <comment authorId="0" ref="B24">
      <text>
        <t xml:space="preserve">Ünneplés Julival</t>
      </text>
    </comment>
    <comment authorId="0" ref="B28">
      <text>
        <t xml:space="preserve">bojt es futas</t>
      </text>
    </comment>
    <comment authorId="0" ref="B31">
      <text>
        <t xml:space="preserve">Bojt es futas</t>
      </text>
    </comment>
    <comment authorId="0" ref="B33">
      <text>
        <t xml:space="preserve">Bojt es futas</t>
      </text>
    </comment>
    <comment authorId="0" ref="B47">
      <text>
        <t xml:space="preserve">egy hetes nyaralas vegen este</t>
      </text>
    </comment>
  </commentList>
</comments>
</file>

<file path=xl/sharedStrings.xml><?xml version="1.0" encoding="utf-8"?>
<sst xmlns="http://schemas.openxmlformats.org/spreadsheetml/2006/main" count="291" uniqueCount="161">
  <si>
    <t>List of books read</t>
  </si>
  <si>
    <t>STATUS KEY</t>
  </si>
  <si>
    <t>PRIORITY KEY</t>
  </si>
  <si>
    <t>In progress</t>
  </si>
  <si>
    <t>Hungarian</t>
  </si>
  <si>
    <t>Complete</t>
  </si>
  <si>
    <t>Romanian</t>
  </si>
  <si>
    <t>Waiting</t>
  </si>
  <si>
    <t>English</t>
  </si>
  <si>
    <t>PROJECT DETAILS</t>
  </si>
  <si>
    <t>Stopped</t>
  </si>
  <si>
    <t>STATUS</t>
  </si>
  <si>
    <t>LANGUAGE</t>
  </si>
  <si>
    <t>START DATE</t>
  </si>
  <si>
    <t>END DATE</t>
  </si>
  <si>
    <t>DURATION</t>
  </si>
  <si>
    <t>BOOK TITLE</t>
  </si>
  <si>
    <t>AUTHOR</t>
  </si>
  <si>
    <t>DESCRIPTION</t>
  </si>
  <si>
    <t>Speed Read</t>
  </si>
  <si>
    <t>Leadership theory</t>
  </si>
  <si>
    <t>Cultivă-ți viziunea</t>
  </si>
  <si>
    <t>Andy Stanley</t>
  </si>
  <si>
    <t>http://gramma.ro/produse/m1/408/60/165/Cultiva-ti-viziunea</t>
  </si>
  <si>
    <t>A megvalósítás 4 alapszabálya - 4 DX</t>
  </si>
  <si>
    <t>Sean Covey - Jim Huling - Chris McChesney</t>
  </si>
  <si>
    <t>https://www.libri.hu/konyv/sean_covey.a-megvalositas-4-alapszabalya.html</t>
  </si>
  <si>
    <t>Cele 12 parghii ale succesului</t>
  </si>
  <si>
    <t>Stephen R. Covey</t>
  </si>
  <si>
    <t>https://www.libris.ro/cele-12-parghii-ale-succesului-stephen-r-covey-ALL978-606-587-424-4--p1164067.html?gclid=CjwKCAjwhLHaBRAGEiwAHCgG3tO-6na-mA4z1btj4S3sbrlJI7FypfBfWxjz9H7MbZGMm7-NwhMAMRoC3OQQAvD_BwE</t>
  </si>
  <si>
    <t>12 reguli de viata</t>
  </si>
  <si>
    <t>Jordan Peterson</t>
  </si>
  <si>
    <t>https://www.libris.ro/12-reguli-de-viata-un-antidot-la-haosul-din-jurul-TRE978-606-40-0507-6--p1257217.html</t>
  </si>
  <si>
    <t>Szolgáló vezető a tanuló vállalkozásban</t>
  </si>
  <si>
    <t>Kiss Ulrich SJ</t>
  </si>
  <si>
    <t>https://www.libri.hu/konyv/kiss_ulrich_sj.szolgalo-vezeto-a-tanulo-vallalkozasban.html</t>
  </si>
  <si>
    <t>A jó vezetők esznek utolsónak</t>
  </si>
  <si>
    <t>SIMON SINEK</t>
  </si>
  <si>
    <t>https://bookline.ro/product/home.action?_v=_&amp;type=22&amp;id=294300</t>
  </si>
  <si>
    <t>Kell egy csapat</t>
  </si>
  <si>
    <t>Patrick Lencioni</t>
  </si>
  <si>
    <t>https://bookline.hu/product/home.action?_v=Patrick_Lencioni_Kell_egy_csapat&amp;id=82947&amp;type=22</t>
  </si>
  <si>
    <t>Incepe cu De Ce</t>
  </si>
  <si>
    <t>Simon SINEK</t>
  </si>
  <si>
    <t>Kreativitás Rt.</t>
  </si>
  <si>
    <t>Amy Wallace, Ed Catmull</t>
  </si>
  <si>
    <t>https://bookline.ro/product/home.action?_v=Amy_Wallace_Ed_Catmull_Kreativitas_Rt_&amp;id=289116&amp;type=22</t>
  </si>
  <si>
    <t>Menedzsment, ha számít a hit</t>
  </si>
  <si>
    <t>Helen. J. Alford, Michael J. Naughton</t>
  </si>
  <si>
    <t>https://bookline.ro/product/home.action?_v=Helen_J_Alford_Michael_J_Naughton_M&amp;id=83563&amp;type=22</t>
  </si>
  <si>
    <t>Theology and Sanity</t>
  </si>
  <si>
    <t>Frank sheed</t>
  </si>
  <si>
    <t>https://www.amazon.com/Theology-Sanity-Frank-Sheed/dp/1684221005</t>
  </si>
  <si>
    <t>Secrets of the Kingdom Economy</t>
  </si>
  <si>
    <t>Paul L. Cuny</t>
  </si>
  <si>
    <t>Idealis csapatjatekos</t>
  </si>
  <si>
    <t>Last Arrow</t>
  </si>
  <si>
    <t>Ervin McManus</t>
  </si>
  <si>
    <t>Tata sarac tata bogat</t>
  </si>
  <si>
    <t>Robert T. Kiyosaki</t>
  </si>
  <si>
    <t>https://www.librex.ro//tata-bogat-tata-sarac.html?gclid=CjwKCAjwq-TmBRBdEiwAaO1enxdx6VA2gFY8TG9Hgh1iaG-AvDaI5WUdKkfgq5YHA7lxtbywN_aDEhoCXLMQAvD_BwE</t>
  </si>
  <si>
    <t>Az archetípusok és a kollektív tudattalan</t>
  </si>
  <si>
    <t>C.G. Jung</t>
  </si>
  <si>
    <t>https://bookline.hu/product/home.action?_v=Carl_Gustav_Jung_Az_archetipusok_es_a_k&amp;type=22&amp;id=104175</t>
  </si>
  <si>
    <t>Érvelés</t>
  </si>
  <si>
    <t>Jonathan Herry</t>
  </si>
  <si>
    <t>Neked van igazad?</t>
  </si>
  <si>
    <t>Acél Petra</t>
  </si>
  <si>
    <t>Built to last</t>
  </si>
  <si>
    <t>Jim Collins</t>
  </si>
  <si>
    <t>Orvos voltam Auchwitzben</t>
  </si>
  <si>
    <t>Nyiszli Miklos</t>
  </si>
  <si>
    <t>... mégis mondj igent az életre</t>
  </si>
  <si>
    <t>Victor E. Frankl</t>
  </si>
  <si>
    <t>A nagy anya</t>
  </si>
  <si>
    <t>Erich Neumann</t>
  </si>
  <si>
    <t>The Origins and History of Consciousness</t>
  </si>
  <si>
    <t>Maszkok, hegek, archetipusok</t>
  </si>
  <si>
    <t>Richard Rohl</t>
  </si>
  <si>
    <t>A 8 dik szokas</t>
  </si>
  <si>
    <t>https://www.amazon.com/gp/product/1451626274/ref=ox_sc_act_title_3?smid=A1C43P89R0UC35&amp;psc=1</t>
  </si>
  <si>
    <t>Katolikus hit alapfokon</t>
  </si>
  <si>
    <t>Johannes Hertl</t>
  </si>
  <si>
    <t>The 3rd Alternative: Solving Life's Most Difficult Problems</t>
  </si>
  <si>
    <t>https://www.amazon.com/3rd-Alternative-Solving-Difficult-Problems/dp/1451626274</t>
  </si>
  <si>
    <t>Megváltó Szeretet</t>
  </si>
  <si>
    <t>Francine Rivers</t>
  </si>
  <si>
    <t>A Gulág Szigetvilág I</t>
  </si>
  <si>
    <t>Szolzsenyicin, Alexandr</t>
  </si>
  <si>
    <t>A Gulág Szigetvilág II</t>
  </si>
  <si>
    <t>A Gulág Szigetvilág III</t>
  </si>
  <si>
    <t>Factfulness</t>
  </si>
  <si>
    <t>Hans Rosling</t>
  </si>
  <si>
    <t>https://www.elefant.ro/factfulness-ten-reasons-we-re-wrong-about-the-world-and-why-things-are-better-than-you-think-hardcover_df390eeb-98ff-41c7-ad6b-118281b576a8?gclid=Cj0KCQjw1Iv0BRDaARIsAGTWD1sXrkTnycj9svyRhSelpttjomyTWvBUStbWgsHJ6wpNMiiofhm1LHIaAnHhEALw_wcB</t>
  </si>
  <si>
    <t>Build to last</t>
  </si>
  <si>
    <t>https://www.amazon.com/Built-Last-Successful-Visionary-Essentials/dp/0060516402</t>
  </si>
  <si>
    <t>7 habists of highly effective families</t>
  </si>
  <si>
    <t>https://www.amazon.com/s?k=7+habits+of+highly+effective+families&amp;crid=2WJIUNK9AI6WY&amp;sprefix=7+habits+of+highly+effective+fa%2Cstripbooks-intl-ship%2C270&amp;ref=nb_sb_ss_fb_1_31</t>
  </si>
  <si>
    <t>Átlagemberek</t>
  </si>
  <si>
    <t>Christorpher R. Browning</t>
  </si>
  <si>
    <t>https://www.elefant.ro/ordinary-men-paperback_a4f262bd-4705-429d-8795-d6b0cc142c6f?gclid=CjwKCAjwiOv7BRBREiwAXHbv3H0rSUIJiaELpIWh0i57MMdyAXCtB3-o-Fs_Tz7T_1MB46UhJZhZlhoCdroQAvD_BwE</t>
  </si>
  <si>
    <t>Homo Sapiens</t>
  </si>
  <si>
    <t>Yuval Noah Harari</t>
  </si>
  <si>
    <t>https://bookline.hu/order/downloads.action</t>
  </si>
  <si>
    <t>Bűn és bűnhődés</t>
  </si>
  <si>
    <t>Fjodor Mihajlovics Dosztojevszkij</t>
  </si>
  <si>
    <t>https://bookline.ro/product/home.action?_v=Fjodor_Mihajlovics_Dosztojevszkij_Bun_e&amp;type=22&amp;id=306324</t>
  </si>
  <si>
    <t>Maps of meaning</t>
  </si>
  <si>
    <t>https://carturesti.ro/carte/maps-of-meaning-the-architecture-of-belief-19673211?gclid=CjwKCAjwqeWKBhBFEiwABo_XBl960Y2v0YalLFCZUlqK2f01z7dbB2aTb31RbYTxYynwzuk2KUD9YRoCISEQAvD_BwE</t>
  </si>
  <si>
    <t>Extreme Ownership</t>
  </si>
  <si>
    <t>Jocko Willink</t>
  </si>
  <si>
    <t>https://www.amazon.de/-/en/Jocko-Willink-Leif-Babin/dp/989234460X/ref=sr_1_6?adgrpid=80980547726&amp;hvadid=394700427818&amp;hvdev=c&amp;hvlocphy=1011824&amp;hvnetw=g&amp;hvqmt=e&amp;hvrand=8106085474730352812&amp;hvtargid=kwd-301351891132&amp;hydadcr=24467_1811986&amp;keywords=extreme+ownership&amp;qid=1693199262&amp;sr=8-6</t>
  </si>
  <si>
    <t>Glükóz Forradalom</t>
  </si>
  <si>
    <t>Jessie Inchauspé</t>
  </si>
  <si>
    <t>Mi akik Istennel Bírkóznk</t>
  </si>
  <si>
    <t>Jordan B. Peterson</t>
  </si>
  <si>
    <t>Sorsfordító Küzdelmeink</t>
  </si>
  <si>
    <t>Csibi Magor</t>
  </si>
  <si>
    <t>Szupertanulás</t>
  </si>
  <si>
    <t>Peter Hollins</t>
  </si>
  <si>
    <t>Meșter es Margareta</t>
  </si>
  <si>
    <t xml:space="preserve">Michail Bulgakov </t>
  </si>
  <si>
    <t>Donald Miller</t>
  </si>
  <si>
    <t>Barabasi Albert Laszlo: a keplet</t>
  </si>
  <si>
    <t>Barabasi Albert Laszlo</t>
  </si>
  <si>
    <t>48 Laws Of power</t>
  </si>
  <si>
    <t>Robert Greene</t>
  </si>
  <si>
    <t>Tiago Forte</t>
  </si>
  <si>
    <t>Building a second brain</t>
  </si>
  <si>
    <t>Ernest Hemingway</t>
  </si>
  <si>
    <t>Az öreg halász és a tenger</t>
  </si>
  <si>
    <t>Discipline equals freedom</t>
  </si>
  <si>
    <t>Újvári András</t>
  </si>
  <si>
    <t>Az isteni axióma</t>
  </si>
  <si>
    <t>Jerzy Kosinski</t>
  </si>
  <si>
    <t>A festett madár</t>
  </si>
  <si>
    <t>Speed read</t>
  </si>
  <si>
    <t>Dátum</t>
  </si>
  <si>
    <t>Súly</t>
  </si>
  <si>
    <t>#nap</t>
  </si>
  <si>
    <t>Delta</t>
  </si>
  <si>
    <t>Δ</t>
  </si>
  <si>
    <t>K. Hát</t>
  </si>
  <si>
    <t>Tricepsz</t>
  </si>
  <si>
    <t>Has</t>
  </si>
  <si>
    <t>Bicepsz</t>
  </si>
  <si>
    <t>Mell</t>
  </si>
  <si>
    <t>Csípő</t>
  </si>
  <si>
    <t>E. Váll</t>
  </si>
  <si>
    <t>Lapocka</t>
  </si>
  <si>
    <t>Vádli</t>
  </si>
  <si>
    <t>H. Váll</t>
  </si>
  <si>
    <t>Hát</t>
  </si>
  <si>
    <t>Trapéz</t>
  </si>
  <si>
    <t>Planck</t>
  </si>
  <si>
    <t>Intermittent fasting start</t>
  </si>
  <si>
    <t>5x eating/ day</t>
  </si>
  <si>
    <t>Focus more on the excersize quality</t>
  </si>
  <si>
    <t>✅</t>
  </si>
  <si>
    <t>❌</t>
  </si>
  <si>
    <t>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</si>
</sst>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&quot; &quot;mmm&quot; &quot;yyyy"/>
    <numFmt numFmtId="165" formatCode="d mmm yyyy"/>
    <numFmt numFmtId="166" formatCode="M/d/yyyy"/>
    <numFmt numFmtId="167" formatCode="0.0 &quot;kg&quot;"/>
    <numFmt numFmtId="168" formatCode="yyyy&quot; &quot;mmm&quot; &quot;d"/>
  </numFmts>
  <fonts count="38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B5394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b/>
      <sz val="8.0"/>
      <color rgb="FF0B5394"/>
      <name val="Roboto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8.0"/>
      <color rgb="FF0B5394"/>
      <name val="Roboto"/>
    </font>
    <font>
      <sz val="11.0"/>
      <name val="Roboto"/>
    </font>
    <font>
      <sz val="11.0"/>
      <color rgb="FF000000"/>
      <name val="Roboto"/>
    </font>
    <font>
      <color rgb="FF0B5394"/>
    </font>
    <font>
      <sz val="9.0"/>
      <color rgb="FFFFFFFF"/>
      <name val="Roboto"/>
    </font>
    <font>
      <b/>
      <sz val="9.0"/>
      <color rgb="FFFFFFFF"/>
      <name val="Roboto"/>
    </font>
    <font>
      <b/>
      <sz val="9.0"/>
      <color rgb="FF434343"/>
      <name val="Roboto"/>
    </font>
    <font>
      <b/>
      <sz val="9.0"/>
      <color rgb="FF0B5394"/>
      <name val="Roboto"/>
    </font>
    <font>
      <b/>
      <sz val="16.0"/>
      <color rgb="FF000000"/>
      <name val="Roboto"/>
    </font>
    <font>
      <b/>
      <sz val="16.0"/>
      <color rgb="FF434343"/>
      <name val="Roboto"/>
    </font>
    <font>
      <sz val="11.0"/>
      <color rgb="FF434343"/>
      <name val="Roboto"/>
    </font>
    <font>
      <sz val="10.0"/>
      <color rgb="FF0B5394"/>
      <name val="Roboto"/>
    </font>
    <font>
      <u/>
      <sz val="10.0"/>
      <color rgb="FF0B5394"/>
      <name val="Roboto"/>
    </font>
    <font>
      <u/>
      <color rgb="FF0000FF"/>
    </font>
    <font>
      <u/>
      <color rgb="FF74756D"/>
      <name val="Arial"/>
    </font>
    <font>
      <b/>
      <sz val="11.0"/>
      <color rgb="FF0B5394"/>
      <name val="Roboto"/>
    </font>
    <font>
      <u/>
      <sz val="10.0"/>
      <color rgb="FF0B5394"/>
      <name val="Roboto"/>
    </font>
    <font>
      <color rgb="FF444444"/>
      <name val="&quot;Work Sans&quot;"/>
    </font>
    <font>
      <sz val="11.0"/>
      <color rgb="FF0B5394"/>
      <name val="Roboto"/>
    </font>
    <font>
      <u/>
      <sz val="10.0"/>
      <color rgb="FF0B5394"/>
      <name val="Roboto"/>
    </font>
    <font>
      <sz val="11.0"/>
      <color rgb="FFFFFFFF"/>
      <name val="Calibri"/>
    </font>
    <font>
      <sz val="12.0"/>
      <color rgb="FF202124"/>
      <name val="&quot;Google Sans&quot;"/>
    </font>
    <font>
      <sz val="12.0"/>
      <color rgb="FF212529"/>
      <name val="System-ui"/>
    </font>
    <font>
      <color rgb="FFFFFFFF"/>
      <name val="Roboto"/>
    </font>
    <font>
      <color rgb="FF434343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B5394"/>
        <bgColor rgb="FF0B5394"/>
      </patternFill>
    </fill>
    <fill>
      <patternFill patternType="solid">
        <fgColor rgb="FF5B9BD5"/>
        <bgColor rgb="FF5B9BD5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</fills>
  <borders count="8">
    <border/>
    <border>
      <bottom style="thick">
        <color rgb="FF0B5394"/>
      </bottom>
    </border>
    <border>
      <bottom style="hair">
        <color rgb="FF999999"/>
      </bottom>
    </border>
    <border>
      <bottom style="medium">
        <color rgb="FF434343"/>
      </bottom>
    </border>
    <border>
      <left/>
      <right/>
      <top/>
      <bottom/>
    </border>
    <border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left" readingOrder="0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3" fontId="5" numFmtId="0" xfId="0" applyAlignment="1" applyFill="1" applyFont="1">
      <alignment vertical="center"/>
    </xf>
    <xf borderId="1" fillId="2" fontId="6" numFmtId="0" xfId="0" applyAlignment="1" applyBorder="1" applyFont="1">
      <alignment horizontal="left" readingOrder="0" shrinkToFit="0" vertical="center" wrapText="0"/>
    </xf>
    <xf borderId="1" fillId="0" fontId="7" numFmtId="0" xfId="0" applyBorder="1" applyFont="1"/>
    <xf borderId="1" fillId="2" fontId="8" numFmtId="0" xfId="0" applyAlignment="1" applyBorder="1" applyFont="1">
      <alignment horizontal="left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2" fontId="11" numFmtId="0" xfId="0" applyAlignment="1" applyFont="1">
      <alignment horizontal="center" readingOrder="0" shrinkToFit="0" vertical="center" wrapText="0"/>
    </xf>
    <xf borderId="0" fillId="2" fontId="11" numFmtId="0" xfId="0" applyAlignment="1" applyFont="1">
      <alignment horizontal="left" readingOrder="0" shrinkToFit="0" vertical="center" wrapText="0"/>
    </xf>
    <xf borderId="0" fillId="2" fontId="12" numFmtId="0" xfId="0" applyAlignment="1" applyFont="1">
      <alignment horizontal="left" shrinkToFit="0" vertical="center" wrapText="0"/>
    </xf>
    <xf borderId="0" fillId="3" fontId="13" numFmtId="0" xfId="0" applyAlignment="1" applyFont="1">
      <alignment horizontal="center" readingOrder="0" shrinkToFit="0" vertical="center" wrapText="0"/>
    </xf>
    <xf borderId="2" fillId="3" fontId="13" numFmtId="0" xfId="0" applyAlignment="1" applyBorder="1" applyFont="1">
      <alignment horizontal="left" readingOrder="0" shrinkToFit="0" vertical="center" wrapText="0"/>
    </xf>
    <xf borderId="0" fillId="3" fontId="13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vertical="center"/>
    </xf>
    <xf borderId="0" fillId="2" fontId="15" numFmtId="0" xfId="0" applyAlignment="1" applyFont="1">
      <alignment horizontal="left" shrinkToFit="0" vertical="center" wrapText="0"/>
    </xf>
    <xf borderId="0" fillId="2" fontId="15" numFmtId="0" xfId="0" applyAlignment="1" applyFont="1">
      <alignment shrinkToFit="0" vertical="center" wrapText="0"/>
    </xf>
    <xf borderId="0" fillId="2" fontId="15" numFmtId="0" xfId="0" applyAlignment="1" applyFont="1">
      <alignment horizontal="center" shrinkToFit="0" vertical="center" wrapText="0"/>
    </xf>
    <xf borderId="0" fillId="3" fontId="16" numFmtId="0" xfId="0" applyAlignment="1" applyFont="1">
      <alignment horizontal="center"/>
    </xf>
    <xf borderId="0" fillId="0" fontId="17" numFmtId="0" xfId="0" applyAlignment="1" applyFont="1">
      <alignment shrinkToFit="0" vertical="center" wrapText="0"/>
    </xf>
    <xf borderId="0" fillId="4" fontId="18" numFmtId="0" xfId="0" applyAlignment="1" applyFill="1" applyFont="1">
      <alignment horizontal="center" shrinkToFit="0" vertical="center" wrapText="1"/>
    </xf>
    <xf borderId="0" fillId="3" fontId="16" numFmtId="0" xfId="0" applyFont="1"/>
    <xf borderId="0" fillId="3" fontId="16" numFmtId="0" xfId="0" applyAlignment="1" applyFont="1">
      <alignment readingOrder="0"/>
    </xf>
    <xf borderId="0" fillId="0" fontId="19" numFmtId="0" xfId="0" applyAlignment="1" applyFont="1">
      <alignment vertical="center"/>
    </xf>
    <xf borderId="0" fillId="3" fontId="20" numFmtId="0" xfId="0" applyAlignment="1" applyFont="1">
      <alignment horizontal="center" shrinkToFit="0" vertical="center" wrapText="1"/>
    </xf>
    <xf borderId="0" fillId="3" fontId="20" numFmtId="0" xfId="0" applyAlignment="1" applyFont="1">
      <alignment horizontal="center" readingOrder="0" shrinkToFit="0" vertical="center" wrapText="1"/>
    </xf>
    <xf borderId="0" fillId="2" fontId="21" numFmtId="0" xfId="0" applyAlignment="1" applyFont="1">
      <alignment vertical="bottom"/>
    </xf>
    <xf borderId="3" fillId="2" fontId="22" numFmtId="0" xfId="0" applyAlignment="1" applyBorder="1" applyFont="1">
      <alignment horizontal="left" readingOrder="0" shrinkToFit="0" vertical="bottom" wrapText="0"/>
    </xf>
    <xf borderId="3" fillId="0" fontId="7" numFmtId="0" xfId="0" applyBorder="1" applyFont="1"/>
    <xf borderId="0" fillId="0" fontId="23" numFmtId="0" xfId="0" applyAlignment="1" applyFont="1">
      <alignment vertical="center"/>
    </xf>
    <xf borderId="0" fillId="0" fontId="24" numFmtId="0" xfId="0" applyAlignment="1" applyFont="1">
      <alignment horizontal="left" readingOrder="0" shrinkToFit="0" vertical="center" wrapText="1"/>
    </xf>
    <xf borderId="0" fillId="0" fontId="24" numFmtId="164" xfId="0" applyAlignment="1" applyFont="1" applyNumberFormat="1">
      <alignment horizontal="left" readingOrder="0" shrinkToFit="0" vertical="center" wrapText="1"/>
    </xf>
    <xf borderId="0" fillId="0" fontId="24" numFmtId="3" xfId="0" applyAlignment="1" applyFont="1" applyNumberFormat="1">
      <alignment horizontal="center" shrinkToFit="0" vertical="center" wrapText="1"/>
    </xf>
    <xf borderId="0" fillId="0" fontId="24" numFmtId="0" xfId="0" applyAlignment="1" applyFont="1">
      <alignment horizontal="center" readingOrder="0" shrinkToFit="0" vertical="center" wrapText="1"/>
    </xf>
    <xf borderId="0" fillId="0" fontId="25" numFmtId="0" xfId="0" applyAlignment="1" applyFont="1">
      <alignment horizontal="left" readingOrder="0" shrinkToFit="0" vertical="center" wrapText="1"/>
    </xf>
    <xf borderId="0" fillId="3" fontId="24" numFmtId="0" xfId="0" applyAlignment="1" applyFont="1">
      <alignment readingOrder="0" shrinkToFit="0" vertical="center" wrapText="0"/>
    </xf>
    <xf borderId="0" fillId="0" fontId="2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27" numFmtId="0" xfId="0" applyAlignment="1" applyFont="1">
      <alignment horizontal="left" readingOrder="0"/>
    </xf>
    <xf borderId="0" fillId="3" fontId="28" numFmtId="0" xfId="0" applyAlignment="1" applyFont="1">
      <alignment horizontal="center" shrinkToFit="0" vertical="center" wrapText="0"/>
    </xf>
    <xf borderId="0" fillId="0" fontId="24" numFmtId="164" xfId="0" applyAlignment="1" applyFont="1" applyNumberFormat="1">
      <alignment horizontal="left" shrinkToFit="0" vertical="center" wrapText="1"/>
    </xf>
    <xf borderId="0" fillId="0" fontId="29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horizontal="left" shrinkToFit="0" vertical="center" wrapText="1"/>
    </xf>
    <xf borderId="0" fillId="2" fontId="30" numFmtId="0" xfId="0" applyAlignment="1" applyFont="1">
      <alignment readingOrder="0"/>
    </xf>
    <xf borderId="0" fillId="3" fontId="31" numFmtId="0" xfId="0" applyAlignment="1" applyFont="1">
      <alignment vertical="center"/>
    </xf>
    <xf borderId="0" fillId="0" fontId="32" numFmtId="0" xfId="0" applyAlignment="1" applyFont="1">
      <alignment horizontal="left" readingOrder="0" shrinkToFit="0" vertical="center" wrapText="1"/>
    </xf>
    <xf borderId="0" fillId="0" fontId="24" numFmtId="165" xfId="0" applyAlignment="1" applyFont="1" applyNumberFormat="1">
      <alignment horizontal="left" readingOrder="0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24" numFmtId="166" xfId="0" applyAlignment="1" applyFont="1" applyNumberFormat="1">
      <alignment horizontal="left" readingOrder="0" shrinkToFit="0" vertical="center" wrapText="1"/>
    </xf>
    <xf borderId="0" fillId="0" fontId="24" numFmtId="167" xfId="0" applyAlignment="1" applyFont="1" applyNumberFormat="1">
      <alignment horizontal="center" readingOrder="0" shrinkToFit="0" vertical="center" wrapText="1"/>
    </xf>
    <xf borderId="4" fillId="5" fontId="33" numFmtId="0" xfId="0" applyAlignment="1" applyBorder="1" applyFill="1" applyFont="1">
      <alignment horizontal="center"/>
    </xf>
    <xf borderId="5" fillId="6" fontId="33" numFmtId="0" xfId="0" applyAlignment="1" applyBorder="1" applyFill="1" applyFont="1">
      <alignment horizontal="center"/>
    </xf>
    <xf borderId="5" fillId="7" fontId="33" numFmtId="0" xfId="0" applyAlignment="1" applyBorder="1" applyFill="1" applyFont="1">
      <alignment horizontal="center"/>
    </xf>
    <xf borderId="5" fillId="8" fontId="33" numFmtId="0" xfId="0" applyAlignment="1" applyBorder="1" applyFill="1" applyFont="1">
      <alignment horizontal="center"/>
    </xf>
    <xf borderId="5" fillId="9" fontId="33" numFmtId="0" xfId="0" applyAlignment="1" applyBorder="1" applyFill="1" applyFont="1">
      <alignment horizontal="center"/>
    </xf>
    <xf borderId="6" fillId="5" fontId="33" numFmtId="0" xfId="0" applyAlignment="1" applyBorder="1" applyFont="1">
      <alignment horizontal="center"/>
    </xf>
    <xf borderId="7" fillId="6" fontId="33" numFmtId="0" xfId="0" applyAlignment="1" applyBorder="1" applyFont="1">
      <alignment horizontal="center"/>
    </xf>
    <xf borderId="7" fillId="7" fontId="33" numFmtId="0" xfId="0" applyAlignment="1" applyBorder="1" applyFont="1">
      <alignment horizontal="center"/>
    </xf>
    <xf borderId="7" fillId="8" fontId="33" numFmtId="0" xfId="0" applyAlignment="1" applyBorder="1" applyFont="1">
      <alignment horizontal="center"/>
    </xf>
    <xf borderId="7" fillId="9" fontId="33" numFmtId="0" xfId="0" applyAlignment="1" applyBorder="1" applyFont="1">
      <alignment horizontal="center"/>
    </xf>
    <xf borderId="7" fillId="8" fontId="33" numFmtId="0" xfId="0" applyAlignment="1" applyBorder="1" applyFont="1">
      <alignment horizontal="center" readingOrder="0"/>
    </xf>
    <xf borderId="7" fillId="9" fontId="33" numFmtId="0" xfId="0" applyAlignment="1" applyBorder="1" applyFont="1">
      <alignment horizontal="center" readingOrder="0"/>
    </xf>
    <xf borderId="0" fillId="0" fontId="24" numFmtId="14" xfId="0" applyAlignment="1" applyFont="1" applyNumberFormat="1">
      <alignment horizontal="left" readingOrder="0" shrinkToFit="0" vertical="center" wrapText="1"/>
    </xf>
    <xf borderId="0" fillId="0" fontId="24" numFmtId="168" xfId="0" applyAlignment="1" applyFont="1" applyNumberFormat="1">
      <alignment horizontal="left" readingOrder="0" shrinkToFit="0" vertical="center" wrapText="1"/>
    </xf>
    <xf borderId="0" fillId="2" fontId="34" numFmtId="0" xfId="0" applyAlignment="1" applyFont="1">
      <alignment readingOrder="0"/>
    </xf>
    <xf borderId="0" fillId="2" fontId="35" numFmtId="0" xfId="0" applyAlignment="1" applyFont="1">
      <alignment readingOrder="0"/>
    </xf>
    <xf borderId="0" fillId="0" fontId="36" numFmtId="0" xfId="0" applyAlignment="1" applyFont="1">
      <alignment horizontal="left" readingOrder="0" shrinkToFit="0" vertical="center" wrapText="0"/>
    </xf>
    <xf borderId="0" fillId="0" fontId="37" numFmtId="0" xfId="0" applyAlignment="1" applyFont="1">
      <alignment shrinkToFit="0" vertical="center" wrapText="0"/>
    </xf>
    <xf borderId="0" fillId="0" fontId="37" numFmtId="0" xfId="0" applyAlignment="1" applyFont="1">
      <alignment shrinkToFit="0" vertical="center" wrapText="0"/>
    </xf>
  </cellXfs>
  <cellStyles count="1">
    <cellStyle xfId="0" name="Normal" builtinId="0"/>
  </cellStyles>
  <dxfs count="11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FD666"/>
          <bgColor rgb="FFFFD66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Chart1 Books Read Per Year by L-style">
      <tableStyleElement dxfId="7" type="headerRow"/>
      <tableStyleElement dxfId="8" type="firstRowStripe"/>
      <tableStyleElement dxfId="9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Roboto"/>
              </a:defRPr>
            </a:pPr>
            <a:r>
              <a:rPr b="0">
                <a:solidFill>
                  <a:srgbClr val="444746"/>
                </a:solidFill>
                <a:latin typeface="Roboto"/>
              </a:rPr>
              <a:t>Books Read Per Year by Language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Books Read Per Year by L'!$B$3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'Chart1 Books Read Per Year by L'!$A$4:$A$10</c:f>
            </c:strRef>
          </c:cat>
          <c:val>
            <c:numRef>
              <c:f>'Chart1 Books Read Per Year by L'!$B$4:$B$10</c:f>
              <c:numCache/>
            </c:numRef>
          </c:val>
        </c:ser>
        <c:ser>
          <c:idx val="1"/>
          <c:order val="1"/>
          <c:tx>
            <c:strRef>
              <c:f>'Chart1 Books Read Per Year by L'!$C$3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'Chart1 Books Read Per Year by L'!$A$4:$A$10</c:f>
            </c:strRef>
          </c:cat>
          <c:val>
            <c:numRef>
              <c:f>'Chart1 Books Read Per Year by L'!$C$4:$C$10</c:f>
              <c:numCache/>
            </c:numRef>
          </c:val>
        </c:ser>
        <c:ser>
          <c:idx val="2"/>
          <c:order val="2"/>
          <c:tx>
            <c:strRef>
              <c:f>'Chart1 Books Read Per Year by L'!$D$3</c:f>
            </c:strRef>
          </c:tx>
          <c:spPr>
            <a:solidFill>
              <a:srgbClr val="F4B400"/>
            </a:solidFill>
            <a:ln cmpd="sng">
              <a:solidFill>
                <a:srgbClr val="000000"/>
              </a:solidFill>
            </a:ln>
          </c:spPr>
          <c:cat>
            <c:strRef>
              <c:f>'Chart1 Books Read Per Year by L'!$A$4:$A$10</c:f>
            </c:strRef>
          </c:cat>
          <c:val>
            <c:numRef>
              <c:f>'Chart1 Books Read Per Year by L'!$D$4:$D$10</c:f>
              <c:numCache/>
            </c:numRef>
          </c:val>
        </c:ser>
        <c:overlap val="100"/>
        <c:axId val="1683829096"/>
        <c:axId val="740202152"/>
      </c:barChart>
      <c:catAx>
        <c:axId val="1683829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Year Read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40202152"/>
      </c:catAx>
      <c:valAx>
        <c:axId val="740202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Number of Books Read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382909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'Weight statistics'!$B$1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Trend</c:name>
            <c:spPr>
              <a:ln w="19050">
                <a:solidFill>
                  <a:srgbClr val="E06666"/>
                </a:solidFill>
              </a:ln>
            </c:spPr>
            <c:trendlineType val="linear"/>
            <c:dispRSqr val="0"/>
            <c:dispEq val="0"/>
          </c:trendline>
          <c:cat>
            <c:strRef>
              <c:f>'Weight statistics'!$C$2:$C$1001</c:f>
            </c:strRef>
          </c:cat>
          <c:val>
            <c:numRef>
              <c:f>'Weight statistics'!$B$2:$B$1001</c:f>
              <c:numCache/>
            </c:numRef>
          </c:val>
          <c:smooth val="1"/>
        </c:ser>
        <c:axId val="361715307"/>
        <c:axId val="1911228478"/>
      </c:lineChart>
      <c:catAx>
        <c:axId val="361715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11228478"/>
      </c:catAx>
      <c:valAx>
        <c:axId val="1911228478"/>
        <c:scaling>
          <c:orientation val="minMax"/>
          <c:min val="7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617153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'Weight statistics'!$E$1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Trend</c:name>
            <c:spPr>
              <a:ln w="19050">
                <a:solidFill>
                  <a:srgbClr val="EEA49D"/>
                </a:solidFill>
              </a:ln>
            </c:spPr>
            <c:trendlineType val="exp"/>
            <c:dispRSqr val="0"/>
            <c:dispEq val="0"/>
          </c:trendline>
          <c:cat>
            <c:strRef>
              <c:f>'Weight statistics'!$C$2:$C$1001</c:f>
            </c:strRef>
          </c:cat>
          <c:val>
            <c:numRef>
              <c:f>'Weight statistics'!$E$2:$E$1001</c:f>
              <c:numCache/>
            </c:numRef>
          </c:val>
          <c:smooth val="1"/>
        </c:ser>
        <c:axId val="1973916464"/>
        <c:axId val="825801115"/>
      </c:lineChart>
      <c:catAx>
        <c:axId val="1973916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5801115"/>
      </c:catAx>
      <c:valAx>
        <c:axId val="825801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739164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'Carnivore Weight'!$B$1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Trend</c:name>
            <c:spPr>
              <a:ln w="19050">
                <a:solidFill>
                  <a:srgbClr val="E06666"/>
                </a:solidFill>
              </a:ln>
            </c:spPr>
            <c:trendlineType val="linear"/>
            <c:dispRSqr val="0"/>
            <c:dispEq val="0"/>
          </c:trendline>
          <c:cat>
            <c:strRef>
              <c:f>'Carnivore Weight'!$C$2:$C$80</c:f>
            </c:strRef>
          </c:cat>
          <c:val>
            <c:numRef>
              <c:f>'Carnivore Weight'!$B$2:$B$80</c:f>
              <c:numCache/>
            </c:numRef>
          </c:val>
          <c:smooth val="1"/>
        </c:ser>
        <c:axId val="499069229"/>
        <c:axId val="700349920"/>
      </c:lineChart>
      <c:catAx>
        <c:axId val="4990692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0349920"/>
      </c:catAx>
      <c:valAx>
        <c:axId val="700349920"/>
        <c:scaling>
          <c:orientation val="minMax"/>
          <c:min val="79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990692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'Carnivore Weight'!$E$1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>Trend</c:name>
            <c:spPr>
              <a:ln w="19050">
                <a:solidFill>
                  <a:srgbClr val="EEA49D"/>
                </a:solidFill>
              </a:ln>
            </c:spPr>
            <c:trendlineType val="exp"/>
            <c:dispRSqr val="0"/>
            <c:dispEq val="0"/>
          </c:trendline>
          <c:cat>
            <c:strRef>
              <c:f>'Carnivore Weight'!$C$2:$C$80</c:f>
            </c:strRef>
          </c:cat>
          <c:val>
            <c:numRef>
              <c:f>'Carnivore Weight'!$E$2:$E$80</c:f>
              <c:numCache/>
            </c:numRef>
          </c:val>
          <c:smooth val="1"/>
        </c:ser>
        <c:axId val="71946708"/>
        <c:axId val="177343267"/>
      </c:lineChart>
      <c:catAx>
        <c:axId val="71946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343267"/>
      </c:catAx>
      <c:valAx>
        <c:axId val="177343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19467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Roboto"/>
              </a:defRPr>
            </a:pPr>
            <a:r>
              <a:rPr b="0">
                <a:solidFill>
                  <a:srgbClr val="444746"/>
                </a:solidFill>
                <a:latin typeface="Roboto"/>
              </a:rPr>
              <a:t>Books Read Per Year by Language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Books Read Per Year by L'!$B$3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'Chart1 Books Read Per Year by L'!$A$4:$A$10</c:f>
            </c:strRef>
          </c:cat>
          <c:val>
            <c:numRef>
              <c:f>'Chart1 Books Read Per Year by L'!$B$4:$B$10</c:f>
              <c:numCache/>
            </c:numRef>
          </c:val>
        </c:ser>
        <c:ser>
          <c:idx val="1"/>
          <c:order val="1"/>
          <c:tx>
            <c:strRef>
              <c:f>'Chart1 Books Read Per Year by L'!$C$3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cat>
            <c:strRef>
              <c:f>'Chart1 Books Read Per Year by L'!$A$4:$A$10</c:f>
            </c:strRef>
          </c:cat>
          <c:val>
            <c:numRef>
              <c:f>'Chart1 Books Read Per Year by L'!$C$4:$C$10</c:f>
              <c:numCache/>
            </c:numRef>
          </c:val>
        </c:ser>
        <c:ser>
          <c:idx val="2"/>
          <c:order val="2"/>
          <c:tx>
            <c:strRef>
              <c:f>'Chart1 Books Read Per Year by L'!$D$3</c:f>
            </c:strRef>
          </c:tx>
          <c:spPr>
            <a:solidFill>
              <a:srgbClr val="F4B400"/>
            </a:solidFill>
            <a:ln cmpd="sng">
              <a:solidFill>
                <a:srgbClr val="000000"/>
              </a:solidFill>
            </a:ln>
          </c:spPr>
          <c:cat>
            <c:strRef>
              <c:f>'Chart1 Books Read Per Year by L'!$A$4:$A$10</c:f>
            </c:strRef>
          </c:cat>
          <c:val>
            <c:numRef>
              <c:f>'Chart1 Books Read Per Year by L'!$D$4:$D$10</c:f>
              <c:numCache/>
            </c:numRef>
          </c:val>
        </c:ser>
        <c:overlap val="100"/>
        <c:axId val="1955174840"/>
        <c:axId val="799036601"/>
      </c:barChart>
      <c:catAx>
        <c:axId val="1955174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Year Read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99036601"/>
      </c:catAx>
      <c:valAx>
        <c:axId val="799036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Number of Books Read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5517484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</c:chart>
  <c:spPr>
    <a:solidFill>
      <a:srgbClr val="F0F4F9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72</xdr:row>
      <xdr:rowOff>114300</xdr:rowOff>
    </xdr:from>
    <xdr:ext cx="476250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5191125" cy="3228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581025</xdr:colOff>
      <xdr:row>0</xdr:row>
      <xdr:rowOff>0</xdr:rowOff>
    </xdr:from>
    <xdr:ext cx="5191125" cy="3209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5191125" cy="3228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581025</xdr:colOff>
      <xdr:row>0</xdr:row>
      <xdr:rowOff>0</xdr:rowOff>
    </xdr:from>
    <xdr:ext cx="5191125" cy="32099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10" displayName="Books_Read_Per_Year_by_Language" name="Books_Read_Per_Year_by_Language" id="1">
  <tableColumns count="4">
    <tableColumn name="YEAR" id="1"/>
    <tableColumn name="Hungarian" id="2"/>
    <tableColumn name="Romanian" id="3"/>
    <tableColumn name="English" id="4"/>
  </tableColumns>
  <tableStyleInfo name="Chart1 Books Read Per Year by L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bookline.hu/order/downloads.action" TargetMode="External"/><Relationship Id="rId11" Type="http://schemas.openxmlformats.org/officeDocument/2006/relationships/hyperlink" Target="https://www.librex.ro/browse-by/autor/robert-t-kiyosaki/" TargetMode="External"/><Relationship Id="rId22" Type="http://schemas.openxmlformats.org/officeDocument/2006/relationships/hyperlink" Target="https://carturesti.ro/carte/maps-of-meaning-the-architecture-of-belief-19673211?gclid=CjwKCAjwqeWKBhBFEiwABo_XBl960Y2v0YalLFCZUlqK2f01z7dbB2aTb31RbYTxYynwzuk2KUD9YRoCISEQAvD_BwE" TargetMode="External"/><Relationship Id="rId10" Type="http://schemas.openxmlformats.org/officeDocument/2006/relationships/hyperlink" Target="https://www.amazon.com/Theology-Sanity-Frank-Sheed/dp/1684221005" TargetMode="External"/><Relationship Id="rId21" Type="http://schemas.openxmlformats.org/officeDocument/2006/relationships/hyperlink" Target="https://bookline.ro/product/home.action?_v=Fjodor_Mihajlovics_Dosztojevszkij_Bun_e&amp;type=22&amp;id=306324" TargetMode="External"/><Relationship Id="rId13" Type="http://schemas.openxmlformats.org/officeDocument/2006/relationships/hyperlink" Target="https://bookline.hu/product/home.action?_v=Carl_Gustav_Jung_Az_archetipusok_es_a_k&amp;type=22&amp;id=104175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librex.ro//tata-bogat-tata-sarac.html?gclid=CjwKCAjwq-TmBRBdEiwAaO1enxdx6VA2gFY8TG9Hgh1iaG-AvDaI5WUdKkfgq5YHA7lxtbywN_aDEhoCXLMQAvD_BwE" TargetMode="External"/><Relationship Id="rId23" Type="http://schemas.openxmlformats.org/officeDocument/2006/relationships/hyperlink" Target="https://www.amazon.de/-/en/Jocko-Willink-Leif-Babin/dp/989234460X/ref=sr_1_6?adgrpid=80980547726&amp;hvadid=394700427818&amp;hvdev=c&amp;hvlocphy=1011824&amp;hvnetw=g&amp;hvqmt=e&amp;hvrand=8106085474730352812&amp;hvtargid=kwd-301351891132&amp;hydadcr=24467_1811986&amp;keywords=extreme+ownership&amp;qid=1693199262&amp;sr=8-6" TargetMode="External"/><Relationship Id="rId1" Type="http://schemas.openxmlformats.org/officeDocument/2006/relationships/hyperlink" Target="http://gramma.ro/produse/m1/408/60/165/Cultiva-ti-viziunea" TargetMode="External"/><Relationship Id="rId2" Type="http://schemas.openxmlformats.org/officeDocument/2006/relationships/hyperlink" Target="https://www.libri.hu/konyv/sean_covey.a-megvalositas-4-alapszabalya.html" TargetMode="External"/><Relationship Id="rId3" Type="http://schemas.openxmlformats.org/officeDocument/2006/relationships/hyperlink" Target="https://www.libris.ro/cele-12-parghii-ale-succesului-stephen-r-covey-ALL978-606-587-424-4--p1164067.html?gclid=CjwKCAjwhLHaBRAGEiwAHCgG3tO-6na-mA4z1btj4S3sbrlJI7FypfBfWxjz9H7MbZGMm7-NwhMAMRoC3OQQAvD_BwE" TargetMode="External"/><Relationship Id="rId4" Type="http://schemas.openxmlformats.org/officeDocument/2006/relationships/hyperlink" Target="https://www.libris.ro/12-reguli-de-viata-un-antidot-la-haosul-din-jurul-TRE978-606-40-0507-6--p1257217.html" TargetMode="External"/><Relationship Id="rId9" Type="http://schemas.openxmlformats.org/officeDocument/2006/relationships/hyperlink" Target="https://bookline.ro/product/home.action?_v=Helen_J_Alford_Michael_J_Naughton_M&amp;id=83563&amp;type=22" TargetMode="External"/><Relationship Id="rId15" Type="http://schemas.openxmlformats.org/officeDocument/2006/relationships/hyperlink" Target="https://www.amazon.com/3rd-Alternative-Solving-Difficult-Problems/dp/1451626274" TargetMode="External"/><Relationship Id="rId14" Type="http://schemas.openxmlformats.org/officeDocument/2006/relationships/hyperlink" Target="https://www.amazon.com/gp/product/1451626274/ref=ox_sc_act_title_3?smid=A1C43P89R0UC35&amp;psc=1" TargetMode="External"/><Relationship Id="rId17" Type="http://schemas.openxmlformats.org/officeDocument/2006/relationships/hyperlink" Target="https://www.amazon.com/Built-Last-Successful-Visionary-Essentials/dp/0060516402" TargetMode="External"/><Relationship Id="rId16" Type="http://schemas.openxmlformats.org/officeDocument/2006/relationships/hyperlink" Target="https://www.elefant.ro/factfulness-ten-reasons-we-re-wrong-about-the-world-and-why-things-are-better-than-you-think-hardcover_df390eeb-98ff-41c7-ad6b-118281b576a8?gclid=Cj0KCQjw1Iv0BRDaARIsAGTWD1sXrkTnycj9svyRhSelpttjomyTWvBUStbWgsHJ6wpNMiiofhm1LHIaAnHhEALw_wcB" TargetMode="External"/><Relationship Id="rId5" Type="http://schemas.openxmlformats.org/officeDocument/2006/relationships/hyperlink" Target="https://www.libri.hu/konyv/kiss_ulrich_sj.szolgalo-vezeto-a-tanulo-vallalkozasban.html" TargetMode="External"/><Relationship Id="rId19" Type="http://schemas.openxmlformats.org/officeDocument/2006/relationships/hyperlink" Target="https://www.elefant.ro/ordinary-men-paperback_a4f262bd-4705-429d-8795-d6b0cc142c6f?gclid=CjwKCAjwiOv7BRBREiwAXHbv3H0rSUIJiaELpIWh0i57MMdyAXCtB3-o-Fs_Tz7T_1MB46UhJZhZlhoCdroQAvD_BwE" TargetMode="External"/><Relationship Id="rId6" Type="http://schemas.openxmlformats.org/officeDocument/2006/relationships/hyperlink" Target="https://bookline.ro/product/home.action?_v=_&amp;type=22&amp;id=294300" TargetMode="External"/><Relationship Id="rId18" Type="http://schemas.openxmlformats.org/officeDocument/2006/relationships/hyperlink" Target="https://www.amazon.com/s?k=7+habits+of+highly+effective+families&amp;crid=2WJIUNK9AI6WY&amp;sprefix=7+habits+of+highly+effective+fa%2Cstripbooks-intl-ship%2C270&amp;ref=nb_sb_ss_fb_1_31" TargetMode="External"/><Relationship Id="rId7" Type="http://schemas.openxmlformats.org/officeDocument/2006/relationships/hyperlink" Target="https://bookline.hu/product/home.action?_v=Patrick_Lencioni_Kell_egy_csapat&amp;id=82947&amp;type=22" TargetMode="External"/><Relationship Id="rId8" Type="http://schemas.openxmlformats.org/officeDocument/2006/relationships/hyperlink" Target="https://bookline.ro/product/home.action?_v=Amy_Wallace_Ed_Catmull_Kreativitas_Rt_&amp;id=289116&amp;type=2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5.13"/>
    <col customWidth="1" min="3" max="5" width="13.25"/>
    <col customWidth="1" min="6" max="6" width="10.75"/>
    <col customWidth="1" min="7" max="8" width="37.75"/>
    <col customWidth="1" min="9" max="9" width="86.75"/>
    <col customWidth="1" min="10" max="10" width="2.88"/>
    <col customWidth="1" min="11" max="11" width="15.0"/>
    <col customWidth="1" min="12" max="12" width="2.88"/>
    <col customWidth="1" min="13" max="13" width="15.0"/>
    <col customWidth="1" min="14" max="14" width="2.88"/>
  </cols>
  <sheetData>
    <row r="1" ht="21.0" customHeight="1">
      <c r="A1" s="1"/>
      <c r="B1" s="2"/>
      <c r="C1" s="3"/>
      <c r="D1" s="4"/>
      <c r="E1" s="4"/>
      <c r="F1" s="5"/>
      <c r="G1" s="6"/>
      <c r="H1" s="6"/>
      <c r="I1" s="3"/>
      <c r="J1" s="7"/>
      <c r="K1" s="7"/>
      <c r="L1" s="7"/>
      <c r="M1" s="7"/>
      <c r="N1" s="7"/>
    </row>
    <row r="2" ht="21.0" customHeight="1">
      <c r="A2" s="1"/>
      <c r="B2" s="8" t="s">
        <v>0</v>
      </c>
      <c r="C2" s="9"/>
      <c r="D2" s="9"/>
      <c r="E2" s="9"/>
      <c r="F2" s="9"/>
      <c r="G2" s="9"/>
      <c r="H2" s="8"/>
      <c r="I2" s="10"/>
      <c r="J2" s="11"/>
      <c r="K2" s="12" t="s">
        <v>1</v>
      </c>
      <c r="L2" s="12"/>
      <c r="M2" s="12" t="s">
        <v>2</v>
      </c>
      <c r="N2" s="11"/>
    </row>
    <row r="3" ht="21.0" customHeight="1">
      <c r="A3" s="1"/>
      <c r="B3" s="13"/>
      <c r="C3" s="13"/>
      <c r="D3" s="14"/>
      <c r="E3" s="14"/>
      <c r="F3" s="15"/>
      <c r="G3" s="16"/>
      <c r="H3" s="16"/>
      <c r="I3" s="17"/>
      <c r="J3" s="18"/>
      <c r="K3" s="19" t="s">
        <v>3</v>
      </c>
      <c r="L3" s="20"/>
      <c r="M3" s="19" t="s">
        <v>4</v>
      </c>
      <c r="N3" s="18"/>
    </row>
    <row r="4" ht="21.0" customHeight="1">
      <c r="A4" s="21"/>
      <c r="B4" s="22"/>
      <c r="C4" s="22"/>
      <c r="D4" s="23"/>
      <c r="E4" s="23"/>
      <c r="F4" s="24"/>
      <c r="G4" s="22"/>
      <c r="H4" s="22"/>
      <c r="I4" s="22"/>
      <c r="J4" s="18"/>
      <c r="K4" s="19" t="s">
        <v>5</v>
      </c>
      <c r="L4" s="20"/>
      <c r="M4" s="19" t="s">
        <v>6</v>
      </c>
      <c r="N4" s="18"/>
    </row>
    <row r="5" ht="21.0" customHeight="1">
      <c r="A5" s="21"/>
      <c r="B5" s="22"/>
      <c r="C5" s="22"/>
      <c r="D5" s="23"/>
      <c r="E5" s="23"/>
      <c r="F5" s="24"/>
      <c r="G5" s="22"/>
      <c r="H5" s="22"/>
      <c r="I5" s="22"/>
      <c r="J5" s="25"/>
      <c r="K5" s="19" t="s">
        <v>7</v>
      </c>
      <c r="L5" s="25"/>
      <c r="M5" s="19" t="s">
        <v>8</v>
      </c>
      <c r="N5" s="25"/>
    </row>
    <row r="6" ht="21.0" customHeight="1">
      <c r="A6" s="26"/>
      <c r="B6" s="27" t="s">
        <v>9</v>
      </c>
      <c r="J6" s="28"/>
      <c r="K6" s="29" t="s">
        <v>10</v>
      </c>
      <c r="L6" s="28"/>
      <c r="M6" s="28"/>
      <c r="N6" s="28"/>
    </row>
    <row r="7" ht="21.0" customHeight="1">
      <c r="A7" s="30"/>
      <c r="B7" s="31" t="s">
        <v>11</v>
      </c>
      <c r="C7" s="32" t="s">
        <v>12</v>
      </c>
      <c r="D7" s="31" t="s">
        <v>13</v>
      </c>
      <c r="E7" s="31" t="s">
        <v>14</v>
      </c>
      <c r="F7" s="31" t="s">
        <v>15</v>
      </c>
      <c r="G7" s="32" t="s">
        <v>16</v>
      </c>
      <c r="H7" s="32" t="s">
        <v>17</v>
      </c>
      <c r="I7" s="31" t="s">
        <v>18</v>
      </c>
      <c r="J7" s="28"/>
      <c r="K7" s="29" t="s">
        <v>19</v>
      </c>
      <c r="L7" s="28"/>
      <c r="M7" s="28"/>
      <c r="N7" s="28"/>
    </row>
    <row r="8" ht="49.5" customHeight="1">
      <c r="A8" s="33"/>
      <c r="B8" s="34" t="s">
        <v>20</v>
      </c>
      <c r="C8" s="35"/>
      <c r="D8" s="35"/>
      <c r="E8" s="35"/>
      <c r="F8" s="35"/>
      <c r="G8" s="35"/>
      <c r="H8" s="35"/>
      <c r="I8" s="35"/>
      <c r="J8" s="28"/>
      <c r="K8" s="28"/>
      <c r="L8" s="28"/>
      <c r="M8" s="28"/>
      <c r="N8" s="28"/>
    </row>
    <row r="9" ht="21.0" customHeight="1">
      <c r="A9" s="36"/>
      <c r="B9" s="37" t="s">
        <v>5</v>
      </c>
      <c r="C9" s="37" t="s">
        <v>6</v>
      </c>
      <c r="D9" s="38"/>
      <c r="E9" s="38"/>
      <c r="F9" s="39" t="str">
        <f t="shared" ref="F9:F69" si="1">IF(E9 &lt;&gt; "",DAYS360(D9,E9),"")</f>
        <v/>
      </c>
      <c r="G9" s="40" t="s">
        <v>21</v>
      </c>
      <c r="H9" s="40" t="s">
        <v>22</v>
      </c>
      <c r="I9" s="41" t="s">
        <v>23</v>
      </c>
      <c r="J9" s="28"/>
      <c r="K9" s="28"/>
      <c r="L9" s="28"/>
      <c r="M9" s="28"/>
      <c r="N9" s="28"/>
    </row>
    <row r="10" ht="21.0" customHeight="1">
      <c r="A10" s="36"/>
      <c r="B10" s="37" t="s">
        <v>5</v>
      </c>
      <c r="C10" s="37" t="s">
        <v>4</v>
      </c>
      <c r="D10" s="38"/>
      <c r="E10" s="38"/>
      <c r="F10" s="39" t="str">
        <f t="shared" si="1"/>
        <v/>
      </c>
      <c r="G10" s="40" t="s">
        <v>24</v>
      </c>
      <c r="H10" s="40" t="s">
        <v>25</v>
      </c>
      <c r="I10" s="41" t="s">
        <v>26</v>
      </c>
      <c r="J10" s="28"/>
      <c r="K10" s="28"/>
      <c r="L10" s="28"/>
      <c r="M10" s="28"/>
      <c r="N10" s="28"/>
    </row>
    <row r="11" ht="21.0" customHeight="1">
      <c r="A11" s="36"/>
      <c r="B11" s="37" t="s">
        <v>5</v>
      </c>
      <c r="C11" s="37" t="s">
        <v>6</v>
      </c>
      <c r="D11" s="38">
        <v>43282.0</v>
      </c>
      <c r="E11" s="38">
        <v>43296.0</v>
      </c>
      <c r="F11" s="39">
        <f t="shared" si="1"/>
        <v>14</v>
      </c>
      <c r="G11" s="40" t="s">
        <v>27</v>
      </c>
      <c r="H11" s="40" t="s">
        <v>28</v>
      </c>
      <c r="I11" s="41" t="s">
        <v>29</v>
      </c>
      <c r="J11" s="28"/>
      <c r="K11" s="28"/>
      <c r="L11" s="28"/>
      <c r="M11" s="28"/>
      <c r="N11" s="28"/>
    </row>
    <row r="12" ht="21.0" customHeight="1">
      <c r="A12" s="36"/>
      <c r="B12" s="37" t="s">
        <v>5</v>
      </c>
      <c r="C12" s="37" t="s">
        <v>6</v>
      </c>
      <c r="D12" s="38">
        <v>43297.0</v>
      </c>
      <c r="E12" s="38">
        <v>43380.0</v>
      </c>
      <c r="F12" s="39">
        <f t="shared" si="1"/>
        <v>81</v>
      </c>
      <c r="G12" s="40" t="s">
        <v>30</v>
      </c>
      <c r="H12" s="40" t="s">
        <v>31</v>
      </c>
      <c r="I12" s="41" t="s">
        <v>32</v>
      </c>
      <c r="J12" s="28"/>
      <c r="K12" s="28"/>
      <c r="L12" s="28"/>
      <c r="M12" s="28"/>
      <c r="N12" s="28"/>
    </row>
    <row r="13" ht="21.0" customHeight="1">
      <c r="A13" s="36"/>
      <c r="B13" s="37" t="s">
        <v>5</v>
      </c>
      <c r="C13" s="37" t="s">
        <v>4</v>
      </c>
      <c r="D13" s="38">
        <v>43381.0</v>
      </c>
      <c r="E13" s="38">
        <v>43422.0</v>
      </c>
      <c r="F13" s="39">
        <f t="shared" si="1"/>
        <v>40</v>
      </c>
      <c r="G13" s="40" t="s">
        <v>33</v>
      </c>
      <c r="H13" s="40" t="s">
        <v>34</v>
      </c>
      <c r="I13" s="41" t="s">
        <v>35</v>
      </c>
      <c r="J13" s="28"/>
      <c r="K13" s="28"/>
      <c r="L13" s="28"/>
      <c r="M13" s="28"/>
      <c r="N13" s="28"/>
    </row>
    <row r="14" ht="21.0" customHeight="1">
      <c r="A14" s="36"/>
      <c r="B14" s="37" t="s">
        <v>5</v>
      </c>
      <c r="C14" s="37" t="s">
        <v>4</v>
      </c>
      <c r="D14" s="38">
        <v>43423.0</v>
      </c>
      <c r="E14" s="38">
        <v>43459.0</v>
      </c>
      <c r="F14" s="39">
        <f t="shared" si="1"/>
        <v>36</v>
      </c>
      <c r="G14" s="40" t="s">
        <v>36</v>
      </c>
      <c r="H14" s="40" t="s">
        <v>37</v>
      </c>
      <c r="I14" s="41" t="s">
        <v>38</v>
      </c>
      <c r="J14" s="42"/>
      <c r="K14" s="28"/>
      <c r="L14" s="42"/>
      <c r="M14" s="42"/>
      <c r="N14" s="42"/>
    </row>
    <row r="15" ht="21.0" customHeight="1">
      <c r="A15" s="36"/>
      <c r="B15" s="37" t="s">
        <v>5</v>
      </c>
      <c r="C15" s="37" t="s">
        <v>4</v>
      </c>
      <c r="D15" s="38">
        <v>43560.0</v>
      </c>
      <c r="E15" s="38">
        <v>43562.0</v>
      </c>
      <c r="F15" s="39">
        <f t="shared" si="1"/>
        <v>2</v>
      </c>
      <c r="G15" s="40" t="s">
        <v>39</v>
      </c>
      <c r="H15" s="40" t="s">
        <v>40</v>
      </c>
      <c r="I15" s="43" t="s">
        <v>41</v>
      </c>
      <c r="J15" s="42"/>
      <c r="K15" s="28"/>
      <c r="L15" s="42"/>
      <c r="M15" s="42"/>
      <c r="N15" s="42"/>
    </row>
    <row r="16" ht="21.0" customHeight="1">
      <c r="A16" s="36"/>
      <c r="B16" s="37" t="s">
        <v>5</v>
      </c>
      <c r="C16" s="37" t="s">
        <v>6</v>
      </c>
      <c r="D16" s="38">
        <v>43537.0</v>
      </c>
      <c r="E16" s="38">
        <v>43598.0</v>
      </c>
      <c r="F16" s="39">
        <f t="shared" si="1"/>
        <v>60</v>
      </c>
      <c r="G16" s="40" t="s">
        <v>42</v>
      </c>
      <c r="H16" s="40" t="s">
        <v>43</v>
      </c>
      <c r="I16" s="44"/>
      <c r="J16" s="42"/>
      <c r="K16" s="28"/>
      <c r="L16" s="42"/>
      <c r="M16" s="42"/>
      <c r="N16" s="42"/>
    </row>
    <row r="17" ht="21.0" customHeight="1">
      <c r="A17" s="36"/>
      <c r="B17" s="37" t="s">
        <v>5</v>
      </c>
      <c r="C17" s="37" t="s">
        <v>4</v>
      </c>
      <c r="D17" s="38">
        <v>43660.0</v>
      </c>
      <c r="E17" s="38">
        <v>43680.0</v>
      </c>
      <c r="F17" s="39">
        <f t="shared" si="1"/>
        <v>19</v>
      </c>
      <c r="G17" s="40" t="s">
        <v>44</v>
      </c>
      <c r="H17" s="40" t="s">
        <v>45</v>
      </c>
      <c r="I17" s="41" t="s">
        <v>46</v>
      </c>
      <c r="J17" s="42"/>
      <c r="K17" s="28"/>
      <c r="L17" s="42"/>
      <c r="M17" s="42"/>
      <c r="N17" s="42"/>
    </row>
    <row r="18" ht="21.0" customHeight="1">
      <c r="A18" s="36"/>
      <c r="B18" s="37" t="s">
        <v>5</v>
      </c>
      <c r="C18" s="37" t="s">
        <v>4</v>
      </c>
      <c r="D18" s="38">
        <v>43599.0</v>
      </c>
      <c r="E18" s="38">
        <v>43605.0</v>
      </c>
      <c r="F18" s="39">
        <f t="shared" si="1"/>
        <v>6</v>
      </c>
      <c r="G18" s="40" t="s">
        <v>47</v>
      </c>
      <c r="H18" s="40" t="s">
        <v>48</v>
      </c>
      <c r="I18" s="45" t="s">
        <v>49</v>
      </c>
      <c r="J18" s="46"/>
      <c r="K18" s="46"/>
      <c r="L18" s="46"/>
      <c r="M18" s="46"/>
      <c r="N18" s="46"/>
    </row>
    <row r="19" ht="21.0" customHeight="1">
      <c r="A19" s="36"/>
      <c r="B19" s="37" t="s">
        <v>7</v>
      </c>
      <c r="C19" s="37" t="s">
        <v>8</v>
      </c>
      <c r="D19" s="47"/>
      <c r="E19" s="47"/>
      <c r="F19" s="39" t="str">
        <f t="shared" si="1"/>
        <v/>
      </c>
      <c r="G19" s="40" t="s">
        <v>50</v>
      </c>
      <c r="H19" s="40" t="s">
        <v>51</v>
      </c>
      <c r="I19" s="41" t="s">
        <v>52</v>
      </c>
      <c r="J19" s="46"/>
      <c r="K19" s="46"/>
      <c r="L19" s="46"/>
      <c r="M19" s="46"/>
      <c r="N19" s="46"/>
    </row>
    <row r="20" ht="21.0" customHeight="1">
      <c r="A20" s="36"/>
      <c r="B20" s="37" t="s">
        <v>7</v>
      </c>
      <c r="C20" s="37" t="s">
        <v>8</v>
      </c>
      <c r="D20" s="47"/>
      <c r="E20" s="47"/>
      <c r="F20" s="39" t="str">
        <f t="shared" si="1"/>
        <v/>
      </c>
      <c r="G20" s="40" t="s">
        <v>53</v>
      </c>
      <c r="H20" s="40" t="s">
        <v>54</v>
      </c>
      <c r="I20" s="37"/>
      <c r="J20" s="46"/>
      <c r="K20" s="46"/>
      <c r="L20" s="46"/>
      <c r="M20" s="46"/>
      <c r="N20" s="46"/>
    </row>
    <row r="21" ht="21.0" customHeight="1">
      <c r="A21" s="36"/>
      <c r="B21" s="37" t="s">
        <v>5</v>
      </c>
      <c r="C21" s="37" t="s">
        <v>4</v>
      </c>
      <c r="D21" s="47"/>
      <c r="E21" s="47"/>
      <c r="F21" s="39" t="str">
        <f t="shared" si="1"/>
        <v/>
      </c>
      <c r="G21" s="40" t="s">
        <v>55</v>
      </c>
      <c r="H21" s="40" t="s">
        <v>40</v>
      </c>
      <c r="I21" s="37"/>
      <c r="J21" s="46"/>
      <c r="K21" s="46"/>
      <c r="L21" s="46"/>
      <c r="M21" s="46"/>
      <c r="N21" s="46"/>
    </row>
    <row r="22" ht="21.0" customHeight="1">
      <c r="A22" s="36"/>
      <c r="B22" s="37" t="s">
        <v>7</v>
      </c>
      <c r="C22" s="37" t="s">
        <v>8</v>
      </c>
      <c r="D22" s="47"/>
      <c r="E22" s="47"/>
      <c r="F22" s="39" t="str">
        <f t="shared" si="1"/>
        <v/>
      </c>
      <c r="G22" s="40" t="s">
        <v>56</v>
      </c>
      <c r="H22" s="40" t="s">
        <v>57</v>
      </c>
      <c r="I22" s="37"/>
      <c r="J22" s="46"/>
      <c r="K22" s="46"/>
      <c r="L22" s="46"/>
      <c r="M22" s="46"/>
      <c r="N22" s="46"/>
    </row>
    <row r="23" ht="21.0" customHeight="1">
      <c r="A23" s="36"/>
      <c r="B23" s="37" t="s">
        <v>10</v>
      </c>
      <c r="C23" s="37" t="s">
        <v>6</v>
      </c>
      <c r="D23" s="38">
        <v>43761.0</v>
      </c>
      <c r="E23" s="47"/>
      <c r="F23" s="39" t="str">
        <f t="shared" si="1"/>
        <v/>
      </c>
      <c r="G23" s="40" t="s">
        <v>58</v>
      </c>
      <c r="H23" s="48" t="s">
        <v>59</v>
      </c>
      <c r="I23" s="43" t="s">
        <v>60</v>
      </c>
      <c r="J23" s="46"/>
      <c r="K23" s="46"/>
      <c r="L23" s="46"/>
      <c r="M23" s="46"/>
      <c r="N23" s="46"/>
    </row>
    <row r="24" ht="21.0" customHeight="1">
      <c r="A24" s="36"/>
      <c r="B24" s="37" t="s">
        <v>5</v>
      </c>
      <c r="C24" s="37" t="s">
        <v>4</v>
      </c>
      <c r="D24" s="38">
        <v>43605.0</v>
      </c>
      <c r="E24" s="38">
        <v>43638.0</v>
      </c>
      <c r="F24" s="39">
        <f t="shared" si="1"/>
        <v>32</v>
      </c>
      <c r="G24" s="40" t="s">
        <v>61</v>
      </c>
      <c r="H24" s="40" t="s">
        <v>62</v>
      </c>
      <c r="I24" s="43" t="s">
        <v>63</v>
      </c>
      <c r="J24" s="46"/>
      <c r="K24" s="46"/>
      <c r="L24" s="46"/>
      <c r="M24" s="46"/>
      <c r="N24" s="46"/>
    </row>
    <row r="25" ht="21.0" customHeight="1">
      <c r="A25" s="36"/>
      <c r="B25" s="37" t="s">
        <v>7</v>
      </c>
      <c r="C25" s="37" t="s">
        <v>4</v>
      </c>
      <c r="D25" s="47"/>
      <c r="E25" s="47"/>
      <c r="F25" s="39" t="str">
        <f t="shared" si="1"/>
        <v/>
      </c>
      <c r="G25" s="40" t="s">
        <v>64</v>
      </c>
      <c r="H25" s="40" t="s">
        <v>65</v>
      </c>
      <c r="I25" s="37"/>
      <c r="J25" s="46"/>
      <c r="K25" s="46"/>
      <c r="L25" s="46"/>
      <c r="M25" s="46"/>
      <c r="N25" s="46"/>
    </row>
    <row r="26" ht="21.0" customHeight="1">
      <c r="A26" s="36"/>
      <c r="B26" s="37" t="s">
        <v>5</v>
      </c>
      <c r="C26" s="37" t="s">
        <v>4</v>
      </c>
      <c r="D26" s="38">
        <v>43792.0</v>
      </c>
      <c r="E26" s="38">
        <v>43812.0</v>
      </c>
      <c r="F26" s="39">
        <f t="shared" si="1"/>
        <v>20</v>
      </c>
      <c r="G26" s="40" t="s">
        <v>66</v>
      </c>
      <c r="H26" s="40" t="s">
        <v>67</v>
      </c>
      <c r="I26" s="37"/>
      <c r="J26" s="46"/>
      <c r="K26" s="46"/>
      <c r="L26" s="46"/>
      <c r="M26" s="46"/>
      <c r="N26" s="46"/>
    </row>
    <row r="27" ht="21.0" customHeight="1">
      <c r="A27" s="36"/>
      <c r="B27" s="37" t="s">
        <v>5</v>
      </c>
      <c r="C27" s="37" t="s">
        <v>8</v>
      </c>
      <c r="D27" s="38">
        <v>43939.0</v>
      </c>
      <c r="E27" s="38"/>
      <c r="F27" s="39" t="str">
        <f t="shared" si="1"/>
        <v/>
      </c>
      <c r="G27" s="40" t="s">
        <v>68</v>
      </c>
      <c r="H27" s="40" t="s">
        <v>69</v>
      </c>
      <c r="I27" s="37"/>
      <c r="J27" s="46"/>
      <c r="K27" s="46"/>
      <c r="L27" s="46"/>
      <c r="M27" s="46"/>
      <c r="N27" s="46"/>
    </row>
    <row r="28" ht="21.0" customHeight="1">
      <c r="A28" s="36"/>
      <c r="B28" s="37" t="s">
        <v>5</v>
      </c>
      <c r="C28" s="37" t="s">
        <v>4</v>
      </c>
      <c r="D28" s="38">
        <v>43647.0</v>
      </c>
      <c r="E28" s="38">
        <v>43652.0</v>
      </c>
      <c r="F28" s="39">
        <f t="shared" si="1"/>
        <v>5</v>
      </c>
      <c r="G28" s="40" t="s">
        <v>70</v>
      </c>
      <c r="H28" s="40" t="s">
        <v>71</v>
      </c>
      <c r="I28" s="37"/>
      <c r="J28" s="46"/>
      <c r="K28" s="46"/>
      <c r="L28" s="46"/>
      <c r="M28" s="46"/>
      <c r="N28" s="46"/>
    </row>
    <row r="29" ht="21.0" customHeight="1">
      <c r="A29" s="36"/>
      <c r="B29" s="37" t="s">
        <v>5</v>
      </c>
      <c r="C29" s="37" t="s">
        <v>4</v>
      </c>
      <c r="D29" s="38">
        <v>43654.0</v>
      </c>
      <c r="E29" s="38">
        <v>43659.0</v>
      </c>
      <c r="F29" s="39">
        <f t="shared" si="1"/>
        <v>5</v>
      </c>
      <c r="G29" s="40" t="s">
        <v>72</v>
      </c>
      <c r="H29" s="40" t="s">
        <v>73</v>
      </c>
      <c r="I29" s="37"/>
      <c r="J29" s="46"/>
      <c r="K29" s="46"/>
      <c r="L29" s="46"/>
      <c r="M29" s="46"/>
      <c r="N29" s="46"/>
    </row>
    <row r="30" ht="21.0" customHeight="1">
      <c r="A30" s="36"/>
      <c r="B30" s="37" t="s">
        <v>7</v>
      </c>
      <c r="C30" s="37" t="s">
        <v>4</v>
      </c>
      <c r="D30" s="47"/>
      <c r="E30" s="47"/>
      <c r="F30" s="39" t="str">
        <f t="shared" si="1"/>
        <v/>
      </c>
      <c r="G30" s="40" t="s">
        <v>74</v>
      </c>
      <c r="H30" s="40" t="s">
        <v>75</v>
      </c>
      <c r="I30" s="37"/>
      <c r="J30" s="46"/>
      <c r="K30" s="46"/>
      <c r="L30" s="46"/>
      <c r="M30" s="46"/>
      <c r="N30" s="46"/>
    </row>
    <row r="31" ht="21.0" customHeight="1">
      <c r="A31" s="36"/>
      <c r="B31" s="37" t="s">
        <v>7</v>
      </c>
      <c r="C31" s="49"/>
      <c r="D31" s="47"/>
      <c r="E31" s="47"/>
      <c r="F31" s="39" t="str">
        <f t="shared" si="1"/>
        <v/>
      </c>
      <c r="G31" s="50" t="s">
        <v>76</v>
      </c>
      <c r="H31" s="40" t="s">
        <v>75</v>
      </c>
      <c r="I31" s="37"/>
      <c r="J31" s="46"/>
      <c r="K31" s="46"/>
      <c r="L31" s="46"/>
      <c r="M31" s="46"/>
      <c r="N31" s="46"/>
    </row>
    <row r="32" ht="21.0" customHeight="1">
      <c r="A32" s="36"/>
      <c r="B32" s="37" t="s">
        <v>5</v>
      </c>
      <c r="C32" s="37" t="s">
        <v>4</v>
      </c>
      <c r="D32" s="38">
        <v>43683.0</v>
      </c>
      <c r="E32" s="38">
        <v>43696.0</v>
      </c>
      <c r="F32" s="39">
        <f t="shared" si="1"/>
        <v>13</v>
      </c>
      <c r="G32" s="40" t="s">
        <v>77</v>
      </c>
      <c r="H32" s="40" t="s">
        <v>78</v>
      </c>
      <c r="I32" s="37"/>
      <c r="J32" s="46"/>
      <c r="K32" s="46"/>
      <c r="L32" s="46"/>
      <c r="M32" s="46"/>
      <c r="N32" s="46"/>
    </row>
    <row r="33" ht="21.0" customHeight="1">
      <c r="A33" s="36"/>
      <c r="B33" s="37" t="s">
        <v>5</v>
      </c>
      <c r="C33" s="37" t="s">
        <v>4</v>
      </c>
      <c r="D33" s="38">
        <v>43697.0</v>
      </c>
      <c r="E33" s="38">
        <v>43745.0</v>
      </c>
      <c r="F33" s="39">
        <f t="shared" si="1"/>
        <v>47</v>
      </c>
      <c r="G33" s="40" t="s">
        <v>79</v>
      </c>
      <c r="H33" s="40" t="s">
        <v>28</v>
      </c>
      <c r="I33" s="43" t="s">
        <v>80</v>
      </c>
      <c r="J33" s="46"/>
      <c r="K33" s="46"/>
      <c r="L33" s="46"/>
      <c r="M33" s="46"/>
      <c r="N33" s="46"/>
    </row>
    <row r="34" ht="21.0" customHeight="1">
      <c r="A34" s="36"/>
      <c r="B34" s="37" t="s">
        <v>5</v>
      </c>
      <c r="C34" s="37" t="s">
        <v>4</v>
      </c>
      <c r="D34" s="38">
        <v>43746.0</v>
      </c>
      <c r="E34" s="38">
        <v>43760.0</v>
      </c>
      <c r="F34" s="39">
        <f t="shared" si="1"/>
        <v>14</v>
      </c>
      <c r="G34" s="40" t="s">
        <v>81</v>
      </c>
      <c r="H34" s="40" t="s">
        <v>82</v>
      </c>
      <c r="I34" s="37"/>
      <c r="J34" s="51"/>
      <c r="K34" s="51"/>
      <c r="L34" s="51"/>
      <c r="M34" s="51"/>
      <c r="N34" s="51"/>
    </row>
    <row r="35" ht="21.0" customHeight="1">
      <c r="A35" s="36"/>
      <c r="B35" s="37" t="s">
        <v>5</v>
      </c>
      <c r="C35" s="37" t="s">
        <v>8</v>
      </c>
      <c r="D35" s="38">
        <v>43812.0</v>
      </c>
      <c r="E35" s="38">
        <v>43921.0</v>
      </c>
      <c r="F35" s="39">
        <f t="shared" si="1"/>
        <v>108</v>
      </c>
      <c r="G35" s="40" t="s">
        <v>83</v>
      </c>
      <c r="H35" s="40" t="s">
        <v>28</v>
      </c>
      <c r="I35" s="43" t="s">
        <v>84</v>
      </c>
      <c r="J35" s="51"/>
      <c r="K35" s="51"/>
      <c r="L35" s="51"/>
      <c r="M35" s="51"/>
      <c r="N35" s="51"/>
    </row>
    <row r="36" ht="21.0" customHeight="1">
      <c r="A36" s="36"/>
      <c r="B36" s="37" t="s">
        <v>5</v>
      </c>
      <c r="C36" s="37" t="s">
        <v>4</v>
      </c>
      <c r="D36" s="38">
        <v>43840.0</v>
      </c>
      <c r="E36" s="38">
        <v>43867.0</v>
      </c>
      <c r="F36" s="39">
        <f t="shared" si="1"/>
        <v>26</v>
      </c>
      <c r="G36" s="40" t="s">
        <v>85</v>
      </c>
      <c r="H36" s="40" t="s">
        <v>86</v>
      </c>
      <c r="I36" s="37"/>
      <c r="J36" s="51"/>
      <c r="K36" s="51"/>
      <c r="L36" s="51"/>
      <c r="M36" s="51"/>
      <c r="N36" s="51"/>
    </row>
    <row r="37" ht="21.0" customHeight="1">
      <c r="A37" s="36"/>
      <c r="B37" s="37" t="s">
        <v>5</v>
      </c>
      <c r="C37" s="37" t="s">
        <v>4</v>
      </c>
      <c r="D37" s="38">
        <v>43824.0</v>
      </c>
      <c r="E37" s="38">
        <v>43867.0</v>
      </c>
      <c r="F37" s="39">
        <f t="shared" si="1"/>
        <v>41</v>
      </c>
      <c r="G37" s="40" t="s">
        <v>87</v>
      </c>
      <c r="H37" s="40" t="s">
        <v>88</v>
      </c>
      <c r="I37" s="37"/>
      <c r="J37" s="51"/>
      <c r="K37" s="51"/>
      <c r="L37" s="51"/>
      <c r="M37" s="51"/>
      <c r="N37" s="51"/>
    </row>
    <row r="38" ht="21.0" customHeight="1">
      <c r="A38" s="36"/>
      <c r="B38" s="37" t="s">
        <v>5</v>
      </c>
      <c r="C38" s="37" t="s">
        <v>4</v>
      </c>
      <c r="D38" s="38">
        <v>43868.0</v>
      </c>
      <c r="E38" s="38">
        <v>43991.0</v>
      </c>
      <c r="F38" s="39">
        <f t="shared" si="1"/>
        <v>122</v>
      </c>
      <c r="G38" s="40" t="s">
        <v>89</v>
      </c>
      <c r="H38" s="40" t="s">
        <v>88</v>
      </c>
      <c r="I38" s="37"/>
      <c r="J38" s="51"/>
      <c r="K38" s="51"/>
      <c r="L38" s="51"/>
      <c r="M38" s="51"/>
      <c r="N38" s="51"/>
    </row>
    <row r="39" ht="21.0" customHeight="1">
      <c r="A39" s="36"/>
      <c r="B39" s="37" t="s">
        <v>5</v>
      </c>
      <c r="C39" s="37" t="s">
        <v>4</v>
      </c>
      <c r="D39" s="38">
        <v>44473.0</v>
      </c>
      <c r="E39" s="47"/>
      <c r="F39" s="39" t="str">
        <f t="shared" si="1"/>
        <v/>
      </c>
      <c r="G39" s="40" t="s">
        <v>90</v>
      </c>
      <c r="H39" s="40" t="s">
        <v>88</v>
      </c>
      <c r="I39" s="37"/>
      <c r="J39" s="51"/>
      <c r="K39" s="51"/>
      <c r="L39" s="51"/>
      <c r="M39" s="51"/>
      <c r="N39" s="51"/>
    </row>
    <row r="40" ht="21.0" customHeight="1">
      <c r="A40" s="36"/>
      <c r="B40" s="37" t="s">
        <v>5</v>
      </c>
      <c r="C40" s="37" t="s">
        <v>8</v>
      </c>
      <c r="D40" s="38">
        <v>43921.0</v>
      </c>
      <c r="E40" s="38">
        <v>43939.0</v>
      </c>
      <c r="F40" s="39">
        <f t="shared" si="1"/>
        <v>18</v>
      </c>
      <c r="G40" s="40" t="s">
        <v>91</v>
      </c>
      <c r="H40" s="40" t="s">
        <v>92</v>
      </c>
      <c r="I40" s="43" t="s">
        <v>93</v>
      </c>
      <c r="J40" s="51"/>
      <c r="K40" s="51"/>
      <c r="L40" s="51"/>
      <c r="M40" s="51"/>
      <c r="N40" s="51"/>
    </row>
    <row r="41" ht="21.0" customHeight="1">
      <c r="A41" s="36"/>
      <c r="B41" s="37" t="s">
        <v>5</v>
      </c>
      <c r="C41" s="37" t="s">
        <v>8</v>
      </c>
      <c r="D41" s="38">
        <v>43939.0</v>
      </c>
      <c r="E41" s="38">
        <v>44086.0</v>
      </c>
      <c r="F41" s="39">
        <f t="shared" si="1"/>
        <v>144</v>
      </c>
      <c r="G41" s="40" t="s">
        <v>94</v>
      </c>
      <c r="H41" s="40" t="s">
        <v>69</v>
      </c>
      <c r="I41" s="41" t="s">
        <v>95</v>
      </c>
      <c r="J41" s="51"/>
      <c r="K41" s="51"/>
      <c r="L41" s="51"/>
      <c r="M41" s="51"/>
      <c r="N41" s="51"/>
    </row>
    <row r="42" ht="21.0" customHeight="1">
      <c r="A42" s="36"/>
      <c r="B42" s="37" t="s">
        <v>5</v>
      </c>
      <c r="C42" s="37" t="s">
        <v>8</v>
      </c>
      <c r="D42" s="38">
        <v>44086.0</v>
      </c>
      <c r="E42" s="47"/>
      <c r="F42" s="39" t="str">
        <f t="shared" si="1"/>
        <v/>
      </c>
      <c r="G42" s="40" t="s">
        <v>96</v>
      </c>
      <c r="H42" s="40" t="s">
        <v>28</v>
      </c>
      <c r="I42" s="41" t="s">
        <v>97</v>
      </c>
      <c r="J42" s="51"/>
      <c r="K42" s="51"/>
      <c r="L42" s="51"/>
      <c r="M42" s="51"/>
      <c r="N42" s="51"/>
    </row>
    <row r="43" ht="21.0" customHeight="1">
      <c r="A43" s="36"/>
      <c r="B43" s="37" t="s">
        <v>5</v>
      </c>
      <c r="C43" s="37" t="s">
        <v>4</v>
      </c>
      <c r="D43" s="38">
        <v>44102.0</v>
      </c>
      <c r="E43" s="38">
        <v>44115.0</v>
      </c>
      <c r="F43" s="39">
        <f t="shared" si="1"/>
        <v>13</v>
      </c>
      <c r="G43" s="40" t="s">
        <v>98</v>
      </c>
      <c r="H43" s="40" t="s">
        <v>99</v>
      </c>
      <c r="I43" s="41" t="s">
        <v>100</v>
      </c>
      <c r="J43" s="51"/>
      <c r="K43" s="51"/>
      <c r="L43" s="51"/>
      <c r="M43" s="51"/>
      <c r="N43" s="51"/>
    </row>
    <row r="44" ht="21.0" customHeight="1">
      <c r="A44" s="36"/>
      <c r="B44" s="37" t="s">
        <v>5</v>
      </c>
      <c r="C44" s="37" t="s">
        <v>4</v>
      </c>
      <c r="D44" s="38">
        <v>44454.0</v>
      </c>
      <c r="E44" s="38">
        <v>44472.0</v>
      </c>
      <c r="F44" s="39">
        <f t="shared" si="1"/>
        <v>18</v>
      </c>
      <c r="G44" s="40" t="s">
        <v>101</v>
      </c>
      <c r="H44" s="40" t="s">
        <v>102</v>
      </c>
      <c r="I44" s="52" t="s">
        <v>103</v>
      </c>
      <c r="J44" s="51"/>
      <c r="K44" s="51"/>
      <c r="L44" s="51"/>
      <c r="M44" s="51"/>
      <c r="N44" s="51"/>
    </row>
    <row r="45" ht="21.0" customHeight="1">
      <c r="A45" s="36"/>
      <c r="B45" s="37" t="s">
        <v>5</v>
      </c>
      <c r="C45" s="37" t="s">
        <v>4</v>
      </c>
      <c r="D45" s="38">
        <v>44440.0</v>
      </c>
      <c r="E45" s="38">
        <v>44454.0</v>
      </c>
      <c r="F45" s="39">
        <f t="shared" si="1"/>
        <v>14</v>
      </c>
      <c r="G45" s="40" t="s">
        <v>104</v>
      </c>
      <c r="H45" s="40" t="s">
        <v>105</v>
      </c>
      <c r="I45" s="52" t="s">
        <v>106</v>
      </c>
      <c r="J45" s="51"/>
      <c r="K45" s="51"/>
      <c r="L45" s="51"/>
      <c r="M45" s="51"/>
      <c r="N45" s="51"/>
    </row>
    <row r="46" ht="21.0" customHeight="1">
      <c r="A46" s="36"/>
      <c r="B46" s="37" t="s">
        <v>3</v>
      </c>
      <c r="C46" s="37" t="s">
        <v>8</v>
      </c>
      <c r="D46" s="38">
        <v>44378.0</v>
      </c>
      <c r="E46" s="47"/>
      <c r="F46" s="39" t="str">
        <f t="shared" si="1"/>
        <v/>
      </c>
      <c r="G46" s="40" t="s">
        <v>107</v>
      </c>
      <c r="H46" s="40" t="s">
        <v>31</v>
      </c>
      <c r="I46" s="41" t="s">
        <v>108</v>
      </c>
      <c r="J46" s="51"/>
      <c r="K46" s="51"/>
      <c r="L46" s="51"/>
      <c r="M46" s="51"/>
      <c r="N46" s="51"/>
    </row>
    <row r="47" ht="21.0" customHeight="1">
      <c r="A47" s="36"/>
      <c r="B47" s="37" t="s">
        <v>5</v>
      </c>
      <c r="C47" s="37" t="s">
        <v>8</v>
      </c>
      <c r="D47" s="38">
        <v>44923.0</v>
      </c>
      <c r="E47" s="38">
        <v>44976.0</v>
      </c>
      <c r="F47" s="39">
        <f t="shared" si="1"/>
        <v>51</v>
      </c>
      <c r="G47" s="40" t="s">
        <v>109</v>
      </c>
      <c r="H47" s="40" t="s">
        <v>110</v>
      </c>
      <c r="I47" s="41" t="s">
        <v>111</v>
      </c>
      <c r="J47" s="51"/>
      <c r="K47" s="51"/>
      <c r="L47" s="51"/>
      <c r="M47" s="51"/>
      <c r="N47" s="51"/>
    </row>
    <row r="48" ht="21.0" customHeight="1">
      <c r="A48" s="36"/>
      <c r="B48" s="37" t="s">
        <v>5</v>
      </c>
      <c r="C48" s="37" t="s">
        <v>4</v>
      </c>
      <c r="D48" s="38">
        <v>45664.0</v>
      </c>
      <c r="E48" s="38">
        <v>45669.0</v>
      </c>
      <c r="F48" s="39">
        <f t="shared" si="1"/>
        <v>5</v>
      </c>
      <c r="G48" s="40" t="s">
        <v>112</v>
      </c>
      <c r="H48" s="40" t="s">
        <v>113</v>
      </c>
      <c r="I48" s="37"/>
      <c r="J48" s="51"/>
      <c r="K48" s="51"/>
      <c r="L48" s="51"/>
      <c r="M48" s="51"/>
      <c r="N48" s="51"/>
    </row>
    <row r="49" ht="21.0" customHeight="1">
      <c r="A49" s="36"/>
      <c r="B49" s="37" t="s">
        <v>5</v>
      </c>
      <c r="C49" s="37" t="s">
        <v>4</v>
      </c>
      <c r="D49" s="38">
        <v>45658.0</v>
      </c>
      <c r="E49" s="38">
        <v>45823.0</v>
      </c>
      <c r="F49" s="39">
        <f t="shared" si="1"/>
        <v>164</v>
      </c>
      <c r="G49" s="40" t="s">
        <v>114</v>
      </c>
      <c r="H49" s="40" t="s">
        <v>115</v>
      </c>
      <c r="I49" s="37"/>
      <c r="J49" s="51"/>
      <c r="K49" s="51"/>
      <c r="L49" s="51"/>
      <c r="M49" s="51"/>
      <c r="N49" s="51"/>
    </row>
    <row r="50" ht="21.0" customHeight="1">
      <c r="A50" s="36"/>
      <c r="B50" s="37" t="s">
        <v>5</v>
      </c>
      <c r="C50" s="37" t="s">
        <v>4</v>
      </c>
      <c r="D50" s="38">
        <v>45753.0</v>
      </c>
      <c r="E50" s="38">
        <v>45765.0</v>
      </c>
      <c r="F50" s="39">
        <f t="shared" si="1"/>
        <v>12</v>
      </c>
      <c r="G50" s="40" t="s">
        <v>116</v>
      </c>
      <c r="H50" s="40" t="s">
        <v>117</v>
      </c>
      <c r="I50" s="37"/>
      <c r="J50" s="51"/>
      <c r="K50" s="51"/>
      <c r="L50" s="51"/>
      <c r="M50" s="51"/>
      <c r="N50" s="51"/>
    </row>
    <row r="51" ht="21.0" customHeight="1">
      <c r="A51" s="36"/>
      <c r="B51" s="37" t="s">
        <v>5</v>
      </c>
      <c r="C51" s="37" t="s">
        <v>4</v>
      </c>
      <c r="D51" s="38">
        <v>45823.0</v>
      </c>
      <c r="E51" s="38">
        <v>45883.0</v>
      </c>
      <c r="F51" s="39">
        <f t="shared" si="1"/>
        <v>59</v>
      </c>
      <c r="G51" s="40" t="s">
        <v>118</v>
      </c>
      <c r="H51" s="40" t="s">
        <v>119</v>
      </c>
      <c r="I51" s="37"/>
      <c r="J51" s="51"/>
      <c r="K51" s="51"/>
      <c r="L51" s="51"/>
      <c r="M51" s="51"/>
      <c r="N51" s="51"/>
    </row>
    <row r="52" ht="21.0" customHeight="1">
      <c r="A52" s="36"/>
      <c r="B52" s="37" t="s">
        <v>5</v>
      </c>
      <c r="C52" s="37" t="s">
        <v>4</v>
      </c>
      <c r="D52" s="53">
        <v>45829.0</v>
      </c>
      <c r="E52" s="38">
        <v>45838.0</v>
      </c>
      <c r="F52" s="39">
        <f t="shared" si="1"/>
        <v>9</v>
      </c>
      <c r="G52" s="40" t="s">
        <v>120</v>
      </c>
      <c r="H52" s="40" t="s">
        <v>121</v>
      </c>
      <c r="I52" s="37"/>
      <c r="J52" s="51"/>
      <c r="K52" s="51"/>
      <c r="L52" s="51"/>
      <c r="M52" s="51"/>
      <c r="N52" s="51"/>
    </row>
    <row r="53" ht="21.0" customHeight="1">
      <c r="A53" s="36"/>
      <c r="B53" s="37" t="s">
        <v>5</v>
      </c>
      <c r="C53" s="37" t="s">
        <v>8</v>
      </c>
      <c r="D53" s="38">
        <v>45839.0</v>
      </c>
      <c r="E53" s="38">
        <v>45853.0</v>
      </c>
      <c r="F53" s="39">
        <f t="shared" si="1"/>
        <v>14</v>
      </c>
      <c r="G53" s="40" t="s">
        <v>122</v>
      </c>
      <c r="H53" s="54"/>
      <c r="I53" s="37"/>
      <c r="J53" s="51"/>
      <c r="K53" s="51"/>
      <c r="L53" s="51"/>
      <c r="M53" s="51"/>
      <c r="N53" s="51"/>
    </row>
    <row r="54" ht="21.0" customHeight="1">
      <c r="A54" s="36"/>
      <c r="B54" s="37" t="s">
        <v>5</v>
      </c>
      <c r="C54" s="37" t="s">
        <v>4</v>
      </c>
      <c r="D54" s="38">
        <v>45884.0</v>
      </c>
      <c r="E54" s="38">
        <v>45900.0</v>
      </c>
      <c r="F54" s="39">
        <f t="shared" si="1"/>
        <v>16</v>
      </c>
      <c r="G54" s="40" t="s">
        <v>123</v>
      </c>
      <c r="H54" s="40" t="s">
        <v>124</v>
      </c>
      <c r="I54" s="37"/>
      <c r="J54" s="51"/>
      <c r="K54" s="51"/>
      <c r="L54" s="51"/>
      <c r="M54" s="51"/>
      <c r="N54" s="51"/>
    </row>
    <row r="55" ht="21.0" customHeight="1">
      <c r="A55" s="36"/>
      <c r="B55" s="37" t="s">
        <v>3</v>
      </c>
      <c r="C55" s="37" t="s">
        <v>4</v>
      </c>
      <c r="D55" s="38">
        <v>45901.0</v>
      </c>
      <c r="E55" s="47"/>
      <c r="F55" s="39" t="str">
        <f t="shared" si="1"/>
        <v/>
      </c>
      <c r="G55" s="40" t="s">
        <v>125</v>
      </c>
      <c r="H55" s="40" t="s">
        <v>126</v>
      </c>
      <c r="I55" s="37"/>
      <c r="J55" s="51"/>
      <c r="K55" s="51"/>
      <c r="L55" s="51"/>
      <c r="M55" s="51"/>
      <c r="N55" s="51"/>
    </row>
    <row r="56" ht="21.0" customHeight="1">
      <c r="A56" s="36"/>
      <c r="B56" s="37" t="s">
        <v>19</v>
      </c>
      <c r="C56" s="37" t="s">
        <v>8</v>
      </c>
      <c r="D56" s="38">
        <v>45901.0</v>
      </c>
      <c r="E56" s="38">
        <v>45906.0</v>
      </c>
      <c r="F56" s="39">
        <f t="shared" si="1"/>
        <v>5</v>
      </c>
      <c r="G56" s="40" t="s">
        <v>127</v>
      </c>
      <c r="H56" s="40" t="s">
        <v>128</v>
      </c>
      <c r="I56" s="37"/>
      <c r="J56" s="51"/>
      <c r="K56" s="51"/>
      <c r="L56" s="51"/>
      <c r="M56" s="51"/>
      <c r="N56" s="51"/>
    </row>
    <row r="57" ht="21.0" customHeight="1">
      <c r="A57" s="36"/>
      <c r="B57" s="37" t="s">
        <v>5</v>
      </c>
      <c r="C57" s="37" t="s">
        <v>4</v>
      </c>
      <c r="D57" s="38">
        <v>45917.0</v>
      </c>
      <c r="E57" s="38">
        <v>45921.0</v>
      </c>
      <c r="F57" s="39">
        <f t="shared" si="1"/>
        <v>4</v>
      </c>
      <c r="G57" s="40" t="s">
        <v>129</v>
      </c>
      <c r="H57" s="40" t="s">
        <v>130</v>
      </c>
      <c r="I57" s="37"/>
      <c r="J57" s="51"/>
      <c r="K57" s="51"/>
      <c r="L57" s="51"/>
      <c r="M57" s="51"/>
      <c r="N57" s="51"/>
    </row>
    <row r="58" ht="21.0" customHeight="1">
      <c r="A58" s="36"/>
      <c r="B58" s="37" t="s">
        <v>5</v>
      </c>
      <c r="C58" s="37" t="s">
        <v>8</v>
      </c>
      <c r="D58" s="38">
        <v>46023.0</v>
      </c>
      <c r="E58" s="38">
        <v>46038.0</v>
      </c>
      <c r="F58" s="39">
        <f t="shared" si="1"/>
        <v>15</v>
      </c>
      <c r="G58" s="40" t="s">
        <v>110</v>
      </c>
      <c r="H58" s="40" t="s">
        <v>131</v>
      </c>
      <c r="I58" s="37"/>
      <c r="J58" s="51"/>
      <c r="K58" s="51"/>
      <c r="L58" s="51"/>
      <c r="M58" s="51"/>
      <c r="N58" s="51"/>
    </row>
    <row r="59" ht="21.0" customHeight="1">
      <c r="A59" s="36"/>
      <c r="B59" s="37" t="s">
        <v>5</v>
      </c>
      <c r="C59" s="37" t="s">
        <v>4</v>
      </c>
      <c r="D59" s="38">
        <v>46038.0</v>
      </c>
      <c r="E59" s="38">
        <v>46047.0</v>
      </c>
      <c r="F59" s="39">
        <f t="shared" si="1"/>
        <v>9</v>
      </c>
      <c r="G59" s="40" t="s">
        <v>132</v>
      </c>
      <c r="H59" s="40" t="s">
        <v>133</v>
      </c>
      <c r="I59" s="37"/>
      <c r="J59" s="51"/>
      <c r="K59" s="51"/>
      <c r="L59" s="51"/>
      <c r="M59" s="51"/>
      <c r="N59" s="51"/>
    </row>
    <row r="60" ht="21.0" customHeight="1">
      <c r="A60" s="36"/>
      <c r="B60" s="37" t="s">
        <v>5</v>
      </c>
      <c r="C60" s="37" t="s">
        <v>4</v>
      </c>
      <c r="D60" s="38">
        <v>46047.0</v>
      </c>
      <c r="E60" s="38">
        <v>46054.0</v>
      </c>
      <c r="F60" s="39">
        <f t="shared" si="1"/>
        <v>6</v>
      </c>
      <c r="G60" s="40" t="s">
        <v>134</v>
      </c>
      <c r="H60" s="40" t="s">
        <v>135</v>
      </c>
      <c r="I60" s="37"/>
      <c r="J60" s="51"/>
      <c r="K60" s="51"/>
      <c r="L60" s="51"/>
      <c r="M60" s="51"/>
      <c r="N60" s="51"/>
    </row>
    <row r="61" ht="21.0" customHeight="1">
      <c r="A61" s="36"/>
      <c r="B61" s="49"/>
      <c r="C61" s="49"/>
      <c r="D61" s="47"/>
      <c r="E61" s="47"/>
      <c r="F61" s="39" t="str">
        <f t="shared" si="1"/>
        <v/>
      </c>
      <c r="G61" s="54"/>
      <c r="H61" s="54"/>
      <c r="I61" s="37"/>
      <c r="J61" s="51"/>
      <c r="K61" s="51"/>
      <c r="L61" s="51"/>
      <c r="M61" s="51"/>
      <c r="N61" s="51"/>
    </row>
    <row r="62" ht="21.0" customHeight="1">
      <c r="A62" s="36"/>
      <c r="B62" s="49"/>
      <c r="C62" s="49"/>
      <c r="D62" s="47"/>
      <c r="E62" s="47"/>
      <c r="F62" s="39" t="str">
        <f t="shared" si="1"/>
        <v/>
      </c>
      <c r="G62" s="54"/>
      <c r="H62" s="54"/>
      <c r="I62" s="37"/>
      <c r="J62" s="51"/>
      <c r="K62" s="51"/>
      <c r="L62" s="51"/>
      <c r="M62" s="51"/>
      <c r="N62" s="51"/>
    </row>
    <row r="63" ht="21.0" customHeight="1">
      <c r="A63" s="36"/>
      <c r="B63" s="49"/>
      <c r="C63" s="49"/>
      <c r="D63" s="47"/>
      <c r="E63" s="47"/>
      <c r="F63" s="39" t="str">
        <f t="shared" si="1"/>
        <v/>
      </c>
      <c r="G63" s="54"/>
      <c r="H63" s="54"/>
      <c r="I63" s="37"/>
      <c r="J63" s="51"/>
      <c r="K63" s="51"/>
      <c r="L63" s="51"/>
      <c r="M63" s="51"/>
      <c r="N63" s="51"/>
    </row>
    <row r="64" ht="21.0" customHeight="1">
      <c r="A64" s="36"/>
      <c r="B64" s="49"/>
      <c r="C64" s="49"/>
      <c r="D64" s="47"/>
      <c r="E64" s="47"/>
      <c r="F64" s="39" t="str">
        <f t="shared" si="1"/>
        <v/>
      </c>
      <c r="G64" s="54"/>
      <c r="H64" s="54"/>
      <c r="I64" s="37"/>
      <c r="J64" s="51"/>
      <c r="K64" s="51"/>
      <c r="L64" s="51"/>
      <c r="M64" s="51"/>
      <c r="N64" s="51"/>
    </row>
    <row r="65" ht="21.0" customHeight="1">
      <c r="A65" s="36"/>
      <c r="B65" s="49"/>
      <c r="C65" s="49"/>
      <c r="D65" s="47"/>
      <c r="E65" s="47"/>
      <c r="F65" s="39" t="str">
        <f t="shared" si="1"/>
        <v/>
      </c>
      <c r="G65" s="54"/>
      <c r="H65" s="54"/>
      <c r="I65" s="37"/>
      <c r="J65" s="51"/>
      <c r="K65" s="51"/>
      <c r="L65" s="51"/>
      <c r="M65" s="51"/>
      <c r="N65" s="51"/>
    </row>
    <row r="66" ht="21.0" customHeight="1">
      <c r="A66" s="36"/>
      <c r="B66" s="49"/>
      <c r="C66" s="49"/>
      <c r="D66" s="47"/>
      <c r="E66" s="47"/>
      <c r="F66" s="39" t="str">
        <f t="shared" si="1"/>
        <v/>
      </c>
      <c r="G66" s="54"/>
      <c r="H66" s="54"/>
      <c r="I66" s="37"/>
      <c r="J66" s="51"/>
      <c r="K66" s="51"/>
      <c r="L66" s="51"/>
      <c r="M66" s="51"/>
      <c r="N66" s="51"/>
    </row>
    <row r="67" ht="21.0" customHeight="1">
      <c r="A67" s="36"/>
      <c r="B67" s="49"/>
      <c r="C67" s="49"/>
      <c r="D67" s="47"/>
      <c r="E67" s="47"/>
      <c r="F67" s="39" t="str">
        <f t="shared" si="1"/>
        <v/>
      </c>
      <c r="G67" s="54"/>
      <c r="H67" s="54"/>
      <c r="I67" s="37"/>
      <c r="J67" s="51"/>
      <c r="K67" s="51"/>
      <c r="L67" s="51"/>
      <c r="M67" s="51"/>
      <c r="N67" s="51"/>
    </row>
    <row r="68" ht="21.0" customHeight="1">
      <c r="A68" s="36"/>
      <c r="B68" s="37"/>
      <c r="C68" s="37" t="s">
        <v>8</v>
      </c>
      <c r="D68" s="47"/>
      <c r="E68" s="47"/>
      <c r="F68" s="39" t="str">
        <f t="shared" si="1"/>
        <v/>
      </c>
      <c r="G68" s="54"/>
      <c r="H68" s="54"/>
      <c r="I68" s="37"/>
      <c r="J68" s="51"/>
      <c r="K68" s="51"/>
      <c r="L68" s="51"/>
      <c r="M68" s="51"/>
      <c r="N68" s="51"/>
    </row>
    <row r="69" ht="21.0" customHeight="1">
      <c r="A69" s="36"/>
      <c r="B69" s="49"/>
      <c r="C69" s="53">
        <v>45894.0</v>
      </c>
      <c r="D69" s="38">
        <v>45900.0</v>
      </c>
      <c r="E69" s="37">
        <v>7.0</v>
      </c>
      <c r="F69" s="39">
        <f t="shared" si="1"/>
        <v>-45234</v>
      </c>
      <c r="G69" s="54"/>
      <c r="H69" s="54"/>
      <c r="I69" s="37"/>
      <c r="J69" s="51"/>
      <c r="K69" s="51"/>
      <c r="L69" s="51"/>
      <c r="M69" s="51"/>
      <c r="N69" s="51"/>
    </row>
    <row r="70" ht="21.0" customHeight="1">
      <c r="A70" s="36"/>
      <c r="B70" s="37" t="s">
        <v>136</v>
      </c>
      <c r="C70" s="49"/>
      <c r="D70" s="38"/>
      <c r="E70" s="47"/>
      <c r="F70" s="39"/>
      <c r="G70" s="54"/>
      <c r="H70" s="54"/>
      <c r="I70" s="37"/>
      <c r="J70" s="51"/>
      <c r="K70" s="51"/>
      <c r="L70" s="51"/>
      <c r="M70" s="51"/>
      <c r="N70" s="51"/>
    </row>
    <row r="71" ht="21.0" customHeight="1">
      <c r="A71" s="36"/>
      <c r="B71" s="37" t="s">
        <v>8</v>
      </c>
      <c r="C71" s="49"/>
      <c r="D71" s="47"/>
      <c r="E71" s="47"/>
      <c r="F71" s="39"/>
      <c r="G71" s="54"/>
      <c r="H71" s="54"/>
      <c r="I71" s="37"/>
      <c r="J71" s="51"/>
      <c r="K71" s="51"/>
      <c r="L71" s="51"/>
      <c r="M71" s="51"/>
      <c r="N71" s="51"/>
    </row>
    <row r="72" ht="21.0" customHeight="1">
      <c r="A72" s="36"/>
      <c r="B72" s="49"/>
      <c r="C72" s="53">
        <v>45894.0</v>
      </c>
      <c r="D72" s="47"/>
      <c r="E72" s="47"/>
      <c r="F72" s="39"/>
      <c r="G72" s="54"/>
      <c r="H72" s="54"/>
      <c r="I72" s="37"/>
      <c r="J72" s="51"/>
      <c r="K72" s="51"/>
      <c r="L72" s="51"/>
      <c r="M72" s="51"/>
      <c r="N72" s="51"/>
    </row>
    <row r="73" ht="21.0" customHeight="1">
      <c r="A73" s="36"/>
      <c r="B73" s="49"/>
      <c r="C73" s="49"/>
      <c r="D73" s="47"/>
      <c r="E73" s="47"/>
      <c r="F73" s="39"/>
      <c r="G73" s="54"/>
      <c r="H73" s="54"/>
      <c r="I73" s="37"/>
      <c r="J73" s="51"/>
      <c r="K73" s="51"/>
      <c r="L73" s="51"/>
      <c r="M73" s="51"/>
      <c r="N73" s="51"/>
    </row>
    <row r="74" ht="21.0" customHeight="1">
      <c r="A74" s="36"/>
      <c r="B74" s="49"/>
      <c r="C74" s="49"/>
      <c r="D74" s="47"/>
      <c r="E74" s="47"/>
      <c r="F74" s="39"/>
      <c r="G74" s="54"/>
      <c r="H74" s="54"/>
      <c r="I74" s="37"/>
      <c r="J74" s="51"/>
      <c r="K74" s="51"/>
      <c r="L74" s="51"/>
      <c r="M74" s="51"/>
      <c r="N74" s="51"/>
    </row>
    <row r="75" ht="21.0" customHeight="1">
      <c r="A75" s="36"/>
      <c r="B75" s="49"/>
      <c r="C75" s="49"/>
      <c r="D75" s="47"/>
      <c r="E75" s="47"/>
      <c r="F75" s="39"/>
      <c r="G75" s="54"/>
      <c r="H75" s="54"/>
      <c r="I75" s="37"/>
      <c r="J75" s="51"/>
      <c r="K75" s="51"/>
      <c r="L75" s="51"/>
      <c r="M75" s="51"/>
      <c r="N75" s="51"/>
    </row>
    <row r="76" ht="21.0" customHeight="1">
      <c r="A76" s="36"/>
      <c r="B76" s="49"/>
      <c r="C76" s="49"/>
      <c r="D76" s="47"/>
      <c r="E76" s="47"/>
      <c r="F76" s="39"/>
      <c r="G76" s="54"/>
      <c r="H76" s="54"/>
      <c r="I76" s="37"/>
      <c r="J76" s="51"/>
      <c r="K76" s="51"/>
      <c r="L76" s="51"/>
      <c r="M76" s="51"/>
      <c r="N76" s="51"/>
    </row>
    <row r="77" ht="21.0" customHeight="1">
      <c r="A77" s="36"/>
      <c r="B77" s="49"/>
      <c r="C77" s="49"/>
      <c r="D77" s="47"/>
      <c r="E77" s="47"/>
      <c r="F77" s="39"/>
      <c r="G77" s="54"/>
      <c r="H77" s="54"/>
      <c r="I77" s="37"/>
      <c r="J77" s="51"/>
      <c r="K77" s="51"/>
      <c r="L77" s="51"/>
      <c r="M77" s="51"/>
      <c r="N77" s="51"/>
    </row>
    <row r="78" ht="21.0" customHeight="1">
      <c r="A78" s="36"/>
      <c r="B78" s="49"/>
      <c r="C78" s="49"/>
      <c r="D78" s="47"/>
      <c r="E78" s="47"/>
      <c r="F78" s="39"/>
      <c r="G78" s="54"/>
      <c r="H78" s="54"/>
      <c r="I78" s="37"/>
      <c r="J78" s="51"/>
      <c r="K78" s="51"/>
      <c r="L78" s="51"/>
      <c r="M78" s="51"/>
      <c r="N78" s="51"/>
    </row>
    <row r="79" ht="21.0" customHeight="1">
      <c r="A79" s="36"/>
      <c r="B79" s="49"/>
      <c r="C79" s="49"/>
      <c r="D79" s="47"/>
      <c r="E79" s="47"/>
      <c r="F79" s="39"/>
      <c r="G79" s="54"/>
      <c r="H79" s="54"/>
      <c r="I79" s="37"/>
      <c r="J79" s="51"/>
      <c r="K79" s="51"/>
      <c r="L79" s="51"/>
      <c r="M79" s="51"/>
      <c r="N79" s="51"/>
    </row>
    <row r="80" ht="21.0" customHeight="1">
      <c r="A80" s="36"/>
      <c r="B80" s="49"/>
      <c r="C80" s="49"/>
      <c r="D80" s="47"/>
      <c r="E80" s="47"/>
      <c r="F80" s="39"/>
      <c r="G80" s="54"/>
      <c r="H80" s="54"/>
      <c r="I80" s="37"/>
      <c r="J80" s="51"/>
      <c r="K80" s="51"/>
      <c r="L80" s="51"/>
      <c r="M80" s="51"/>
      <c r="N80" s="51"/>
    </row>
    <row r="81" ht="21.0" customHeight="1">
      <c r="A81" s="36"/>
      <c r="B81" s="49"/>
      <c r="C81" s="49"/>
      <c r="D81" s="47"/>
      <c r="E81" s="47"/>
      <c r="F81" s="39"/>
      <c r="G81" s="54"/>
      <c r="H81" s="54"/>
      <c r="I81" s="37"/>
      <c r="J81" s="51"/>
      <c r="K81" s="51"/>
      <c r="L81" s="51"/>
      <c r="M81" s="51"/>
      <c r="N81" s="51"/>
    </row>
    <row r="82" ht="21.0" customHeight="1">
      <c r="A82" s="36"/>
      <c r="B82" s="49"/>
      <c r="C82" s="49"/>
      <c r="D82" s="47"/>
      <c r="E82" s="47"/>
      <c r="F82" s="39"/>
      <c r="G82" s="54"/>
      <c r="H82" s="54"/>
      <c r="I82" s="37"/>
      <c r="J82" s="51"/>
      <c r="K82" s="51"/>
      <c r="L82" s="51"/>
      <c r="M82" s="51"/>
      <c r="N82" s="51"/>
    </row>
    <row r="83" ht="21.0" customHeight="1">
      <c r="A83" s="36"/>
      <c r="B83" s="49"/>
      <c r="C83" s="49"/>
      <c r="D83" s="47"/>
      <c r="E83" s="47"/>
      <c r="F83" s="39"/>
      <c r="G83" s="54"/>
      <c r="H83" s="54"/>
      <c r="I83" s="37"/>
      <c r="J83" s="51"/>
      <c r="K83" s="51"/>
      <c r="L83" s="51"/>
      <c r="M83" s="51"/>
      <c r="N83" s="51"/>
    </row>
    <row r="84" ht="21.0" customHeight="1">
      <c r="A84" s="36"/>
      <c r="B84" s="49"/>
      <c r="C84" s="49"/>
      <c r="D84" s="47"/>
      <c r="E84" s="47"/>
      <c r="F84" s="39"/>
      <c r="G84" s="54"/>
      <c r="H84" s="54"/>
      <c r="I84" s="37"/>
      <c r="J84" s="51"/>
      <c r="K84" s="51"/>
      <c r="L84" s="51"/>
      <c r="M84" s="51"/>
      <c r="N84" s="51"/>
    </row>
    <row r="85" ht="21.0" customHeight="1">
      <c r="A85" s="36"/>
      <c r="B85" s="49"/>
      <c r="C85" s="49"/>
      <c r="D85" s="47"/>
      <c r="E85" s="47"/>
      <c r="F85" s="39"/>
      <c r="G85" s="54"/>
      <c r="H85" s="54"/>
      <c r="I85" s="37"/>
      <c r="J85" s="51"/>
      <c r="K85" s="51"/>
      <c r="L85" s="51"/>
      <c r="M85" s="51"/>
      <c r="N85" s="51"/>
    </row>
    <row r="86" ht="21.0" customHeight="1">
      <c r="A86" s="36"/>
      <c r="B86" s="49"/>
      <c r="C86" s="49"/>
      <c r="D86" s="47"/>
      <c r="E86" s="47"/>
      <c r="F86" s="39"/>
      <c r="G86" s="54"/>
      <c r="H86" s="54"/>
      <c r="I86" s="37"/>
      <c r="J86" s="51"/>
      <c r="K86" s="51"/>
      <c r="L86" s="51"/>
      <c r="M86" s="51"/>
      <c r="N86" s="51"/>
    </row>
    <row r="87" ht="21.0" customHeight="1">
      <c r="A87" s="36"/>
      <c r="B87" s="49"/>
      <c r="C87" s="49"/>
      <c r="D87" s="47"/>
      <c r="E87" s="47"/>
      <c r="F87" s="39"/>
      <c r="G87" s="54"/>
      <c r="H87" s="54"/>
      <c r="I87" s="37"/>
      <c r="J87" s="51"/>
      <c r="K87" s="51"/>
      <c r="L87" s="51"/>
      <c r="M87" s="51"/>
      <c r="N87" s="51"/>
    </row>
    <row r="88" ht="21.0" customHeight="1">
      <c r="A88" s="36"/>
      <c r="B88" s="49"/>
      <c r="C88" s="49"/>
      <c r="D88" s="47"/>
      <c r="E88" s="47"/>
      <c r="F88" s="39"/>
      <c r="G88" s="54"/>
      <c r="H88" s="54"/>
      <c r="I88" s="37"/>
      <c r="J88" s="51"/>
      <c r="K88" s="51"/>
      <c r="L88" s="51"/>
      <c r="M88" s="51"/>
      <c r="N88" s="51"/>
    </row>
    <row r="89" ht="21.0" customHeight="1">
      <c r="A89" s="36"/>
      <c r="B89" s="49"/>
      <c r="C89" s="49"/>
      <c r="D89" s="47"/>
      <c r="E89" s="47"/>
      <c r="F89" s="39"/>
      <c r="G89" s="54"/>
      <c r="H89" s="54"/>
      <c r="I89" s="37"/>
      <c r="J89" s="51"/>
      <c r="K89" s="51"/>
      <c r="L89" s="51"/>
      <c r="M89" s="51"/>
      <c r="N89" s="51"/>
    </row>
    <row r="90" ht="21.0" customHeight="1">
      <c r="A90" s="36"/>
      <c r="B90" s="49"/>
      <c r="C90" s="49"/>
      <c r="D90" s="47"/>
      <c r="E90" s="47"/>
      <c r="F90" s="39"/>
      <c r="G90" s="54"/>
      <c r="H90" s="54"/>
      <c r="I90" s="37"/>
      <c r="J90" s="51"/>
      <c r="K90" s="51"/>
      <c r="L90" s="51"/>
      <c r="M90" s="51"/>
      <c r="N90" s="51"/>
    </row>
    <row r="91" ht="21.0" customHeight="1">
      <c r="A91" s="36"/>
      <c r="B91" s="49"/>
      <c r="C91" s="49"/>
      <c r="D91" s="47"/>
      <c r="E91" s="47"/>
      <c r="F91" s="39"/>
      <c r="G91" s="54"/>
      <c r="H91" s="54"/>
      <c r="I91" s="37"/>
      <c r="J91" s="51"/>
      <c r="K91" s="51"/>
      <c r="L91" s="51"/>
      <c r="M91" s="51"/>
      <c r="N91" s="51"/>
    </row>
    <row r="92" ht="21.0" customHeight="1">
      <c r="A92" s="36"/>
      <c r="B92" s="49"/>
      <c r="C92" s="49"/>
      <c r="D92" s="47"/>
      <c r="E92" s="47"/>
      <c r="F92" s="39"/>
      <c r="G92" s="54"/>
      <c r="H92" s="54"/>
      <c r="I92" s="37"/>
      <c r="J92" s="51"/>
      <c r="K92" s="51"/>
      <c r="L92" s="51"/>
      <c r="M92" s="51"/>
      <c r="N92" s="51"/>
    </row>
    <row r="93" ht="21.0" customHeight="1">
      <c r="A93" s="36"/>
      <c r="B93" s="49"/>
      <c r="C93" s="49"/>
      <c r="D93" s="47"/>
      <c r="E93" s="47"/>
      <c r="F93" s="39"/>
      <c r="G93" s="54"/>
      <c r="H93" s="54"/>
      <c r="I93" s="37"/>
      <c r="J93" s="51"/>
      <c r="K93" s="51"/>
      <c r="L93" s="51"/>
      <c r="M93" s="51"/>
      <c r="N93" s="51"/>
    </row>
    <row r="94" ht="21.0" customHeight="1">
      <c r="A94" s="36"/>
      <c r="B94" s="49"/>
      <c r="C94" s="49"/>
      <c r="D94" s="47"/>
      <c r="E94" s="47"/>
      <c r="F94" s="39"/>
      <c r="G94" s="54"/>
      <c r="H94" s="54"/>
      <c r="I94" s="37"/>
      <c r="J94" s="51"/>
      <c r="K94" s="51"/>
      <c r="L94" s="51"/>
      <c r="M94" s="51"/>
      <c r="N94" s="51"/>
    </row>
    <row r="95" ht="21.0" customHeight="1">
      <c r="A95" s="36"/>
      <c r="B95" s="49"/>
      <c r="C95" s="49"/>
      <c r="D95" s="47"/>
      <c r="E95" s="47"/>
      <c r="F95" s="39"/>
      <c r="G95" s="54"/>
      <c r="H95" s="54"/>
      <c r="I95" s="37"/>
      <c r="J95" s="51"/>
      <c r="K95" s="51"/>
      <c r="L95" s="51"/>
      <c r="M95" s="51"/>
      <c r="N95" s="51"/>
    </row>
    <row r="96" ht="21.0" customHeight="1">
      <c r="A96" s="36"/>
      <c r="B96" s="49"/>
      <c r="C96" s="49"/>
      <c r="D96" s="47"/>
      <c r="E96" s="47"/>
      <c r="F96" s="39"/>
      <c r="G96" s="54"/>
      <c r="H96" s="54"/>
      <c r="I96" s="37"/>
      <c r="J96" s="51"/>
      <c r="K96" s="51"/>
      <c r="L96" s="51"/>
      <c r="M96" s="51"/>
      <c r="N96" s="51"/>
    </row>
    <row r="97" ht="21.0" customHeight="1">
      <c r="A97" s="36"/>
      <c r="B97" s="49"/>
      <c r="C97" s="49"/>
      <c r="D97" s="47"/>
      <c r="E97" s="47"/>
      <c r="F97" s="39"/>
      <c r="G97" s="54"/>
      <c r="H97" s="54"/>
      <c r="I97" s="37"/>
      <c r="J97" s="51"/>
      <c r="K97" s="51"/>
      <c r="L97" s="51"/>
      <c r="M97" s="51"/>
      <c r="N97" s="51"/>
    </row>
    <row r="98" ht="21.0" customHeight="1">
      <c r="A98" s="36"/>
      <c r="B98" s="49"/>
      <c r="C98" s="49"/>
      <c r="D98" s="47"/>
      <c r="E98" s="47"/>
      <c r="F98" s="39"/>
      <c r="G98" s="54"/>
      <c r="H98" s="54"/>
      <c r="I98" s="37"/>
      <c r="J98" s="51"/>
      <c r="K98" s="51"/>
      <c r="L98" s="51"/>
      <c r="M98" s="51"/>
      <c r="N98" s="51"/>
    </row>
    <row r="99" ht="21.0" customHeight="1">
      <c r="A99" s="36"/>
      <c r="B99" s="49"/>
      <c r="C99" s="49"/>
      <c r="D99" s="47"/>
      <c r="E99" s="47"/>
      <c r="F99" s="39"/>
      <c r="G99" s="54"/>
      <c r="H99" s="54"/>
      <c r="I99" s="37"/>
      <c r="J99" s="51"/>
      <c r="K99" s="51"/>
      <c r="L99" s="51"/>
      <c r="M99" s="51"/>
      <c r="N99" s="51"/>
    </row>
    <row r="100" ht="21.0" customHeight="1">
      <c r="A100" s="36"/>
      <c r="B100" s="49"/>
      <c r="C100" s="49"/>
      <c r="D100" s="47"/>
      <c r="E100" s="47"/>
      <c r="F100" s="39"/>
      <c r="G100" s="54"/>
      <c r="H100" s="54"/>
      <c r="I100" s="37"/>
      <c r="J100" s="51"/>
      <c r="K100" s="51"/>
      <c r="L100" s="51"/>
      <c r="M100" s="51"/>
      <c r="N100" s="51"/>
    </row>
    <row r="101" ht="21.0" customHeight="1">
      <c r="A101" s="36"/>
      <c r="B101" s="49"/>
      <c r="C101" s="49"/>
      <c r="D101" s="47"/>
      <c r="E101" s="47"/>
      <c r="F101" s="39"/>
      <c r="G101" s="54"/>
      <c r="H101" s="54"/>
      <c r="I101" s="37"/>
      <c r="J101" s="51"/>
      <c r="K101" s="51"/>
      <c r="L101" s="51"/>
      <c r="M101" s="51"/>
      <c r="N101" s="51"/>
    </row>
    <row r="102" ht="21.0" customHeight="1">
      <c r="A102" s="36"/>
      <c r="B102" s="49"/>
      <c r="C102" s="49"/>
      <c r="D102" s="47"/>
      <c r="E102" s="47"/>
      <c r="F102" s="39"/>
      <c r="G102" s="54"/>
      <c r="H102" s="54"/>
      <c r="I102" s="37"/>
      <c r="J102" s="51"/>
      <c r="K102" s="51"/>
      <c r="L102" s="51"/>
      <c r="M102" s="51"/>
      <c r="N102" s="51"/>
    </row>
    <row r="103" ht="21.0" customHeight="1">
      <c r="A103" s="36"/>
      <c r="B103" s="49"/>
      <c r="C103" s="49"/>
      <c r="D103" s="47"/>
      <c r="E103" s="47"/>
      <c r="F103" s="39"/>
      <c r="G103" s="54"/>
      <c r="H103" s="54"/>
      <c r="I103" s="37"/>
      <c r="J103" s="51"/>
      <c r="K103" s="51"/>
      <c r="L103" s="51"/>
      <c r="M103" s="51"/>
      <c r="N103" s="51"/>
    </row>
    <row r="104" ht="21.0" customHeight="1">
      <c r="A104" s="36"/>
      <c r="B104" s="49"/>
      <c r="C104" s="49"/>
      <c r="D104" s="47"/>
      <c r="E104" s="47"/>
      <c r="F104" s="39"/>
      <c r="G104" s="54"/>
      <c r="H104" s="54"/>
      <c r="I104" s="37"/>
      <c r="J104" s="51"/>
      <c r="K104" s="51"/>
      <c r="L104" s="51"/>
      <c r="M104" s="51"/>
      <c r="N104" s="51"/>
    </row>
    <row r="105" ht="21.0" customHeight="1">
      <c r="A105" s="36"/>
      <c r="B105" s="49"/>
      <c r="C105" s="49"/>
      <c r="D105" s="47"/>
      <c r="E105" s="47"/>
      <c r="F105" s="39"/>
      <c r="G105" s="54"/>
      <c r="H105" s="54"/>
      <c r="I105" s="37"/>
      <c r="J105" s="51"/>
      <c r="K105" s="51"/>
      <c r="L105" s="51"/>
      <c r="M105" s="51"/>
      <c r="N105" s="51"/>
    </row>
    <row r="106" ht="21.0" customHeight="1">
      <c r="A106" s="36"/>
      <c r="B106" s="49"/>
      <c r="C106" s="49"/>
      <c r="D106" s="47"/>
      <c r="E106" s="47"/>
      <c r="F106" s="39"/>
      <c r="G106" s="54"/>
      <c r="H106" s="54"/>
      <c r="I106" s="37"/>
      <c r="J106" s="51"/>
      <c r="K106" s="51"/>
      <c r="L106" s="51"/>
      <c r="M106" s="51"/>
      <c r="N106" s="51"/>
    </row>
    <row r="107" ht="21.0" customHeight="1">
      <c r="A107" s="36"/>
      <c r="B107" s="49"/>
      <c r="C107" s="49"/>
      <c r="D107" s="47"/>
      <c r="E107" s="47"/>
      <c r="F107" s="39"/>
      <c r="G107" s="54"/>
      <c r="H107" s="54"/>
      <c r="I107" s="37"/>
      <c r="J107" s="51"/>
      <c r="K107" s="51"/>
      <c r="L107" s="51"/>
      <c r="M107" s="51"/>
      <c r="N107" s="51"/>
    </row>
    <row r="108" ht="21.0" customHeight="1">
      <c r="A108" s="36"/>
      <c r="B108" s="49"/>
      <c r="C108" s="49"/>
      <c r="D108" s="47"/>
      <c r="E108" s="47"/>
      <c r="F108" s="39"/>
      <c r="G108" s="54"/>
      <c r="H108" s="54"/>
      <c r="I108" s="37"/>
      <c r="J108" s="51"/>
      <c r="K108" s="51"/>
      <c r="L108" s="51"/>
      <c r="M108" s="51"/>
      <c r="N108" s="51"/>
    </row>
    <row r="109" ht="21.0" customHeight="1">
      <c r="A109" s="36"/>
      <c r="B109" s="49"/>
      <c r="C109" s="49"/>
      <c r="D109" s="47"/>
      <c r="E109" s="47"/>
      <c r="F109" s="39"/>
      <c r="G109" s="54"/>
      <c r="H109" s="54"/>
      <c r="I109" s="37"/>
      <c r="J109" s="51"/>
      <c r="K109" s="51"/>
      <c r="L109" s="51"/>
      <c r="M109" s="51"/>
      <c r="N109" s="51"/>
    </row>
    <row r="110" ht="21.0" customHeight="1">
      <c r="A110" s="36"/>
      <c r="B110" s="49"/>
      <c r="C110" s="49"/>
      <c r="D110" s="47"/>
      <c r="E110" s="47"/>
      <c r="F110" s="39"/>
      <c r="G110" s="54"/>
      <c r="H110" s="54"/>
      <c r="I110" s="37"/>
      <c r="J110" s="51"/>
      <c r="K110" s="51"/>
      <c r="L110" s="51"/>
      <c r="M110" s="51"/>
      <c r="N110" s="51"/>
    </row>
    <row r="111" ht="21.0" customHeight="1">
      <c r="A111" s="36"/>
      <c r="B111" s="49"/>
      <c r="C111" s="49"/>
      <c r="D111" s="47"/>
      <c r="E111" s="47"/>
      <c r="F111" s="39"/>
      <c r="G111" s="54"/>
      <c r="H111" s="54"/>
      <c r="I111" s="37"/>
      <c r="J111" s="51"/>
      <c r="K111" s="51"/>
      <c r="L111" s="51"/>
      <c r="M111" s="51"/>
      <c r="N111" s="51"/>
    </row>
    <row r="112" ht="21.0" customHeight="1">
      <c r="A112" s="36"/>
      <c r="B112" s="49"/>
      <c r="C112" s="49"/>
      <c r="D112" s="47"/>
      <c r="E112" s="47"/>
      <c r="F112" s="39"/>
      <c r="G112" s="54"/>
      <c r="H112" s="54"/>
      <c r="I112" s="37"/>
      <c r="J112" s="51"/>
      <c r="K112" s="51"/>
      <c r="L112" s="51"/>
      <c r="M112" s="51"/>
      <c r="N112" s="51"/>
    </row>
    <row r="113" ht="21.0" customHeight="1">
      <c r="A113" s="36"/>
      <c r="B113" s="49"/>
      <c r="C113" s="49"/>
      <c r="D113" s="47"/>
      <c r="E113" s="47"/>
      <c r="F113" s="39"/>
      <c r="G113" s="54"/>
      <c r="H113" s="54"/>
      <c r="I113" s="37"/>
      <c r="J113" s="51"/>
      <c r="K113" s="51"/>
      <c r="L113" s="51"/>
      <c r="M113" s="51"/>
      <c r="N113" s="51"/>
    </row>
    <row r="114" ht="21.0" customHeight="1">
      <c r="A114" s="36"/>
      <c r="B114" s="49"/>
      <c r="C114" s="49"/>
      <c r="D114" s="47"/>
      <c r="E114" s="47"/>
      <c r="F114" s="39"/>
      <c r="G114" s="54"/>
      <c r="H114" s="54"/>
      <c r="I114" s="37"/>
      <c r="J114" s="51"/>
      <c r="K114" s="51"/>
      <c r="L114" s="51"/>
      <c r="M114" s="51"/>
      <c r="N114" s="51"/>
    </row>
    <row r="115" ht="21.0" customHeight="1">
      <c r="A115" s="36"/>
      <c r="B115" s="49"/>
      <c r="C115" s="49"/>
      <c r="D115" s="47"/>
      <c r="E115" s="47"/>
      <c r="F115" s="39"/>
      <c r="G115" s="54"/>
      <c r="H115" s="54"/>
      <c r="I115" s="37"/>
      <c r="J115" s="51"/>
      <c r="K115" s="51"/>
      <c r="L115" s="51"/>
      <c r="M115" s="51"/>
      <c r="N115" s="51"/>
    </row>
    <row r="116" ht="21.0" customHeight="1">
      <c r="A116" s="36"/>
      <c r="B116" s="49"/>
      <c r="C116" s="49"/>
      <c r="D116" s="47"/>
      <c r="E116" s="47"/>
      <c r="F116" s="39"/>
      <c r="G116" s="54"/>
      <c r="H116" s="54"/>
      <c r="I116" s="37"/>
      <c r="J116" s="51"/>
      <c r="K116" s="51"/>
      <c r="L116" s="51"/>
      <c r="M116" s="51"/>
      <c r="N116" s="51"/>
    </row>
    <row r="117" ht="21.0" customHeight="1">
      <c r="A117" s="36"/>
      <c r="B117" s="49"/>
      <c r="C117" s="49"/>
      <c r="D117" s="47"/>
      <c r="E117" s="47"/>
      <c r="F117" s="39"/>
      <c r="G117" s="54"/>
      <c r="H117" s="54"/>
      <c r="I117" s="37"/>
      <c r="J117" s="51"/>
      <c r="K117" s="51"/>
      <c r="L117" s="51"/>
      <c r="M117" s="51"/>
      <c r="N117" s="51"/>
    </row>
    <row r="118" ht="21.0" customHeight="1">
      <c r="A118" s="36"/>
      <c r="B118" s="49"/>
      <c r="C118" s="49"/>
      <c r="D118" s="47"/>
      <c r="E118" s="47"/>
      <c r="F118" s="39"/>
      <c r="G118" s="54"/>
      <c r="H118" s="54"/>
      <c r="I118" s="37"/>
      <c r="J118" s="51"/>
      <c r="K118" s="51"/>
      <c r="L118" s="51"/>
      <c r="M118" s="51"/>
      <c r="N118" s="51"/>
    </row>
    <row r="119" ht="21.0" customHeight="1">
      <c r="A119" s="36"/>
      <c r="B119" s="49"/>
      <c r="C119" s="49"/>
      <c r="D119" s="47"/>
      <c r="E119" s="47"/>
      <c r="F119" s="39"/>
      <c r="G119" s="54"/>
      <c r="H119" s="54"/>
      <c r="I119" s="37"/>
      <c r="J119" s="51"/>
      <c r="K119" s="51"/>
      <c r="L119" s="51"/>
      <c r="M119" s="51"/>
      <c r="N119" s="51"/>
    </row>
    <row r="120" ht="21.0" customHeight="1">
      <c r="A120" s="36"/>
      <c r="B120" s="49"/>
      <c r="C120" s="49"/>
      <c r="D120" s="47"/>
      <c r="E120" s="47"/>
      <c r="F120" s="39"/>
      <c r="G120" s="54"/>
      <c r="H120" s="54"/>
      <c r="I120" s="37"/>
      <c r="J120" s="51"/>
      <c r="K120" s="51"/>
      <c r="L120" s="51"/>
      <c r="M120" s="51"/>
      <c r="N120" s="51"/>
    </row>
    <row r="121" ht="21.0" customHeight="1">
      <c r="A121" s="36"/>
      <c r="B121" s="49"/>
      <c r="C121" s="49"/>
      <c r="D121" s="47"/>
      <c r="E121" s="47"/>
      <c r="F121" s="39"/>
      <c r="G121" s="54"/>
      <c r="H121" s="54"/>
      <c r="I121" s="37"/>
      <c r="J121" s="51"/>
      <c r="K121" s="51"/>
      <c r="L121" s="51"/>
      <c r="M121" s="51"/>
      <c r="N121" s="51"/>
    </row>
    <row r="122" ht="21.0" customHeight="1">
      <c r="A122" s="36"/>
      <c r="B122" s="49"/>
      <c r="C122" s="49"/>
      <c r="D122" s="47"/>
      <c r="E122" s="47"/>
      <c r="F122" s="39"/>
      <c r="G122" s="54"/>
      <c r="H122" s="54"/>
      <c r="I122" s="37"/>
      <c r="J122" s="51"/>
      <c r="K122" s="51"/>
      <c r="L122" s="51"/>
      <c r="M122" s="51"/>
      <c r="N122" s="51"/>
    </row>
    <row r="123" ht="21.0" customHeight="1">
      <c r="A123" s="36"/>
      <c r="B123" s="49"/>
      <c r="C123" s="49"/>
      <c r="D123" s="47"/>
      <c r="E123" s="47"/>
      <c r="F123" s="39"/>
      <c r="G123" s="54"/>
      <c r="H123" s="54"/>
      <c r="I123" s="37"/>
      <c r="J123" s="51"/>
      <c r="K123" s="51"/>
      <c r="L123" s="51"/>
      <c r="M123" s="51"/>
      <c r="N123" s="51"/>
    </row>
    <row r="124" ht="21.0" customHeight="1">
      <c r="A124" s="36"/>
      <c r="B124" s="49"/>
      <c r="C124" s="49"/>
      <c r="D124" s="47"/>
      <c r="E124" s="47"/>
      <c r="F124" s="39"/>
      <c r="G124" s="54"/>
      <c r="H124" s="54"/>
      <c r="I124" s="37"/>
      <c r="J124" s="51"/>
      <c r="K124" s="51"/>
      <c r="L124" s="51"/>
      <c r="M124" s="51"/>
      <c r="N124" s="51"/>
    </row>
    <row r="125" ht="21.0" customHeight="1">
      <c r="A125" s="36"/>
      <c r="B125" s="49"/>
      <c r="C125" s="49"/>
      <c r="D125" s="47"/>
      <c r="E125" s="47"/>
      <c r="F125" s="39"/>
      <c r="G125" s="54"/>
      <c r="H125" s="54"/>
      <c r="I125" s="37"/>
      <c r="J125" s="51"/>
      <c r="K125" s="51"/>
      <c r="L125" s="51"/>
      <c r="M125" s="51"/>
      <c r="N125" s="51"/>
    </row>
    <row r="126" ht="21.0" customHeight="1">
      <c r="A126" s="36"/>
      <c r="B126" s="49"/>
      <c r="C126" s="49"/>
      <c r="D126" s="47"/>
      <c r="E126" s="47"/>
      <c r="F126" s="39"/>
      <c r="G126" s="54"/>
      <c r="H126" s="54"/>
      <c r="I126" s="37"/>
      <c r="J126" s="51"/>
      <c r="K126" s="51"/>
      <c r="L126" s="51"/>
      <c r="M126" s="51"/>
      <c r="N126" s="51"/>
    </row>
    <row r="127" ht="21.0" customHeight="1">
      <c r="A127" s="36"/>
      <c r="B127" s="49"/>
      <c r="C127" s="49"/>
      <c r="D127" s="47"/>
      <c r="E127" s="47"/>
      <c r="F127" s="39"/>
      <c r="G127" s="54"/>
      <c r="H127" s="54"/>
      <c r="I127" s="37"/>
      <c r="J127" s="51"/>
      <c r="K127" s="51"/>
      <c r="L127" s="51"/>
      <c r="M127" s="51"/>
      <c r="N127" s="51"/>
    </row>
    <row r="128" ht="21.0" customHeight="1">
      <c r="A128" s="36"/>
      <c r="B128" s="49"/>
      <c r="C128" s="49"/>
      <c r="D128" s="47"/>
      <c r="E128" s="47"/>
      <c r="F128" s="39"/>
      <c r="G128" s="54"/>
      <c r="H128" s="54"/>
      <c r="I128" s="37"/>
      <c r="J128" s="51"/>
      <c r="K128" s="51"/>
      <c r="L128" s="51"/>
      <c r="M128" s="51"/>
      <c r="N128" s="51"/>
    </row>
    <row r="129" ht="21.0" customHeight="1">
      <c r="A129" s="36"/>
      <c r="B129" s="49"/>
      <c r="C129" s="49"/>
      <c r="D129" s="47"/>
      <c r="E129" s="47"/>
      <c r="F129" s="39"/>
      <c r="G129" s="54"/>
      <c r="H129" s="54"/>
      <c r="I129" s="37"/>
      <c r="J129" s="51"/>
      <c r="K129" s="51"/>
      <c r="L129" s="51"/>
      <c r="M129" s="51"/>
      <c r="N129" s="51"/>
    </row>
    <row r="130" ht="21.0" customHeight="1">
      <c r="A130" s="36"/>
      <c r="B130" s="49"/>
      <c r="C130" s="49"/>
      <c r="D130" s="47"/>
      <c r="E130" s="47"/>
      <c r="F130" s="39"/>
      <c r="G130" s="54"/>
      <c r="H130" s="54"/>
      <c r="I130" s="37"/>
      <c r="J130" s="51"/>
      <c r="K130" s="51"/>
      <c r="L130" s="51"/>
      <c r="M130" s="51"/>
      <c r="N130" s="51"/>
    </row>
    <row r="131" ht="21.0" customHeight="1">
      <c r="A131" s="36"/>
      <c r="B131" s="49"/>
      <c r="C131" s="49"/>
      <c r="D131" s="47"/>
      <c r="E131" s="47"/>
      <c r="F131" s="39"/>
      <c r="G131" s="54"/>
      <c r="H131" s="54"/>
      <c r="I131" s="37"/>
      <c r="J131" s="51"/>
      <c r="K131" s="51"/>
      <c r="L131" s="51"/>
      <c r="M131" s="51"/>
      <c r="N131" s="51"/>
    </row>
    <row r="132" ht="21.0" customHeight="1">
      <c r="A132" s="36"/>
      <c r="B132" s="49"/>
      <c r="C132" s="49"/>
      <c r="D132" s="47"/>
      <c r="E132" s="47"/>
      <c r="F132" s="39"/>
      <c r="G132" s="54"/>
      <c r="H132" s="54"/>
      <c r="I132" s="37"/>
      <c r="J132" s="51"/>
      <c r="K132" s="51"/>
      <c r="L132" s="51"/>
      <c r="M132" s="51"/>
      <c r="N132" s="51"/>
    </row>
    <row r="133" ht="21.0" customHeight="1">
      <c r="A133" s="36"/>
      <c r="B133" s="49"/>
      <c r="C133" s="49"/>
      <c r="D133" s="47"/>
      <c r="E133" s="47"/>
      <c r="F133" s="39"/>
      <c r="G133" s="54"/>
      <c r="H133" s="54"/>
      <c r="I133" s="37"/>
      <c r="J133" s="51"/>
      <c r="K133" s="51"/>
      <c r="L133" s="51"/>
      <c r="M133" s="51"/>
      <c r="N133" s="51"/>
    </row>
    <row r="134" ht="21.0" customHeight="1">
      <c r="A134" s="36"/>
      <c r="B134" s="49"/>
      <c r="C134" s="49"/>
      <c r="D134" s="47"/>
      <c r="E134" s="47"/>
      <c r="F134" s="39"/>
      <c r="G134" s="54"/>
      <c r="H134" s="54"/>
      <c r="I134" s="37"/>
      <c r="J134" s="51"/>
      <c r="K134" s="51"/>
      <c r="L134" s="51"/>
      <c r="M134" s="51"/>
      <c r="N134" s="51"/>
    </row>
    <row r="135" ht="21.0" customHeight="1">
      <c r="A135" s="36"/>
      <c r="B135" s="49"/>
      <c r="C135" s="49"/>
      <c r="D135" s="47"/>
      <c r="E135" s="47"/>
      <c r="F135" s="39"/>
      <c r="G135" s="54"/>
      <c r="H135" s="54"/>
      <c r="I135" s="37"/>
      <c r="J135" s="51"/>
      <c r="K135" s="51"/>
      <c r="L135" s="51"/>
      <c r="M135" s="51"/>
      <c r="N135" s="51"/>
    </row>
    <row r="136" ht="21.0" customHeight="1">
      <c r="A136" s="36"/>
      <c r="B136" s="49"/>
      <c r="C136" s="49"/>
      <c r="D136" s="47"/>
      <c r="E136" s="47"/>
      <c r="F136" s="39"/>
      <c r="G136" s="54"/>
      <c r="H136" s="54"/>
      <c r="I136" s="37"/>
      <c r="J136" s="51"/>
      <c r="K136" s="51"/>
      <c r="L136" s="51"/>
      <c r="M136" s="51"/>
      <c r="N136" s="51"/>
    </row>
  </sheetData>
  <mergeCells count="3">
    <mergeCell ref="B2:G2"/>
    <mergeCell ref="B6:I6"/>
    <mergeCell ref="B8:I8"/>
  </mergeCells>
  <conditionalFormatting sqref="H37:H38">
    <cfRule type="expression" dxfId="0" priority="1">
      <formula> $B38 = "Stopped"</formula>
    </cfRule>
  </conditionalFormatting>
  <conditionalFormatting sqref="H37:H38">
    <cfRule type="expression" dxfId="1" priority="2">
      <formula> $B38 = "Waiting"</formula>
    </cfRule>
  </conditionalFormatting>
  <conditionalFormatting sqref="H37:H38">
    <cfRule type="expression" dxfId="2" priority="3">
      <formula>$B38="In progress"</formula>
    </cfRule>
  </conditionalFormatting>
  <conditionalFormatting sqref="H37:H38">
    <cfRule type="expression" dxfId="3" priority="4">
      <formula>$B38 = "Complete"</formula>
    </cfRule>
  </conditionalFormatting>
  <conditionalFormatting sqref="B9:G136 H9:H36 I9:I136 H38:H136">
    <cfRule type="expression" dxfId="3" priority="5">
      <formula>$B9 = "Complete"</formula>
    </cfRule>
  </conditionalFormatting>
  <conditionalFormatting sqref="B9:G136 H9:H36 I9:I136 H38:H136">
    <cfRule type="expression" dxfId="2" priority="6">
      <formula>$B9="In progress"</formula>
    </cfRule>
  </conditionalFormatting>
  <conditionalFormatting sqref="B9:G136 H9:H36 I9:I136 H38:H136">
    <cfRule type="expression" dxfId="1" priority="7">
      <formula> $B9 = "Waiting"</formula>
    </cfRule>
  </conditionalFormatting>
  <conditionalFormatting sqref="B9:G136 H9:H36 I9:I136 H38:H136">
    <cfRule type="expression" dxfId="0" priority="8">
      <formula> $B9 = "Stopped"</formula>
    </cfRule>
  </conditionalFormatting>
  <conditionalFormatting sqref="B9:G136 H9:H36 I9:I136 H38:H136">
    <cfRule type="expression" dxfId="4" priority="9">
      <formula>$B9 = "Speed Read"</formula>
    </cfRule>
  </conditionalFormatting>
  <dataValidations>
    <dataValidation type="list" allowBlank="1" sqref="B9:B54 B56:B136">
      <formula1>'Books read'!$K$3:$K136</formula1>
    </dataValidation>
    <dataValidation type="list" allowBlank="1" sqref="B1:B8 B55">
      <formula1>'Books read'!$K$3:$K136</formula1>
    </dataValidation>
    <dataValidation type="list" allowBlank="1" sqref="C9:C136">
      <formula1>'Books read'!$M$3:$M$5</formula1>
    </dataValidation>
    <dataValidation type="custom" allowBlank="1" showDropDown="1" sqref="D9:E136">
      <formula1>OR(NOT(ISERROR(DATEVALUE(D9))), AND(ISNUMBER(D9), LEFT(CELL("format", D9))="D"))</formula1>
    </dataValidation>
  </dataValidations>
  <hyperlinks>
    <hyperlink r:id="rId1" ref="I9"/>
    <hyperlink r:id="rId2" ref="I10"/>
    <hyperlink r:id="rId3" ref="I11"/>
    <hyperlink r:id="rId4" ref="I12"/>
    <hyperlink r:id="rId5" ref="I13"/>
    <hyperlink r:id="rId6" ref="I14"/>
    <hyperlink r:id="rId7" ref="I15"/>
    <hyperlink r:id="rId8" ref="I17"/>
    <hyperlink r:id="rId9" ref="I18"/>
    <hyperlink r:id="rId10" ref="I19"/>
    <hyperlink r:id="rId11" ref="H23"/>
    <hyperlink r:id="rId12" ref="I23"/>
    <hyperlink r:id="rId13" ref="I24"/>
    <hyperlink r:id="rId14" ref="I33"/>
    <hyperlink r:id="rId15" ref="I35"/>
    <hyperlink r:id="rId16" ref="I40"/>
    <hyperlink r:id="rId17" ref="I41"/>
    <hyperlink r:id="rId18" ref="I42"/>
    <hyperlink r:id="rId19" ref="I43"/>
    <hyperlink r:id="rId20" ref="I44"/>
    <hyperlink r:id="rId21" ref="I45"/>
    <hyperlink r:id="rId22" ref="I46"/>
    <hyperlink r:id="rId23" ref="I47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137</v>
      </c>
      <c r="B1" s="31" t="s">
        <v>138</v>
      </c>
      <c r="C1" s="31" t="s">
        <v>139</v>
      </c>
      <c r="D1" s="32" t="s">
        <v>140</v>
      </c>
      <c r="E1" s="32" t="s">
        <v>141</v>
      </c>
    </row>
    <row r="2">
      <c r="A2" s="55">
        <v>43285.0</v>
      </c>
      <c r="B2" s="56">
        <v>90.2</v>
      </c>
      <c r="C2" s="40">
        <f t="shared" ref="C2:C231" si="1">IF(A2 &lt;&gt; "",  DAYS360("7/4/2018",A2),"")</f>
        <v>0</v>
      </c>
      <c r="D2" s="56">
        <f t="shared" ref="D2:D238" si="2">IF(A2 &lt;&gt; "", B2-$B$2,"")</f>
        <v>0</v>
      </c>
      <c r="E2" s="56">
        <f t="shared" ref="E2:E170" si="3">IF(A2 &lt;&gt; "",30*D2/(C2+1),"")</f>
        <v>0</v>
      </c>
    </row>
    <row r="3">
      <c r="A3" s="55">
        <v>43292.0</v>
      </c>
      <c r="B3" s="56">
        <v>88.8</v>
      </c>
      <c r="C3" s="40">
        <f t="shared" si="1"/>
        <v>7</v>
      </c>
      <c r="D3" s="56">
        <f t="shared" si="2"/>
        <v>-1.4</v>
      </c>
      <c r="E3" s="56">
        <f t="shared" si="3"/>
        <v>-5.25</v>
      </c>
    </row>
    <row r="4">
      <c r="A4" s="55">
        <v>43300.0</v>
      </c>
      <c r="B4" s="56">
        <v>87.9</v>
      </c>
      <c r="C4" s="40">
        <f t="shared" si="1"/>
        <v>15</v>
      </c>
      <c r="D4" s="56">
        <f t="shared" si="2"/>
        <v>-2.3</v>
      </c>
      <c r="E4" s="56">
        <f t="shared" si="3"/>
        <v>-4.3125</v>
      </c>
    </row>
    <row r="5">
      <c r="A5" s="55">
        <v>43301.0</v>
      </c>
      <c r="B5" s="56">
        <v>86.9</v>
      </c>
      <c r="C5" s="40">
        <f t="shared" si="1"/>
        <v>16</v>
      </c>
      <c r="D5" s="56">
        <f t="shared" si="2"/>
        <v>-3.3</v>
      </c>
      <c r="E5" s="56">
        <f t="shared" si="3"/>
        <v>-5.823529412</v>
      </c>
    </row>
    <row r="6">
      <c r="A6" s="55">
        <v>43302.0</v>
      </c>
      <c r="B6" s="56">
        <v>87.2</v>
      </c>
      <c r="C6" s="40">
        <f t="shared" si="1"/>
        <v>17</v>
      </c>
      <c r="D6" s="56">
        <f t="shared" si="2"/>
        <v>-3</v>
      </c>
      <c r="E6" s="56">
        <f t="shared" si="3"/>
        <v>-5</v>
      </c>
    </row>
    <row r="7">
      <c r="A7" s="55">
        <v>43303.0</v>
      </c>
      <c r="B7" s="56">
        <v>88.1</v>
      </c>
      <c r="C7" s="40">
        <f t="shared" si="1"/>
        <v>18</v>
      </c>
      <c r="D7" s="56">
        <f t="shared" si="2"/>
        <v>-2.1</v>
      </c>
      <c r="E7" s="56">
        <f t="shared" si="3"/>
        <v>-3.315789474</v>
      </c>
    </row>
    <row r="8">
      <c r="A8" s="55">
        <v>43307.0</v>
      </c>
      <c r="B8" s="56">
        <v>87.5</v>
      </c>
      <c r="C8" s="40">
        <f t="shared" si="1"/>
        <v>22</v>
      </c>
      <c r="D8" s="56">
        <f t="shared" si="2"/>
        <v>-2.7</v>
      </c>
      <c r="E8" s="56">
        <f t="shared" si="3"/>
        <v>-3.52173913</v>
      </c>
    </row>
    <row r="9">
      <c r="A9" s="55">
        <v>43308.0</v>
      </c>
      <c r="B9" s="56">
        <v>87.3</v>
      </c>
      <c r="C9" s="40">
        <f t="shared" si="1"/>
        <v>23</v>
      </c>
      <c r="D9" s="56">
        <f t="shared" si="2"/>
        <v>-2.9</v>
      </c>
      <c r="E9" s="56">
        <f t="shared" si="3"/>
        <v>-3.625</v>
      </c>
    </row>
    <row r="10">
      <c r="A10" s="55">
        <v>43309.0</v>
      </c>
      <c r="B10" s="56">
        <v>86.0</v>
      </c>
      <c r="C10" s="40">
        <f t="shared" si="1"/>
        <v>24</v>
      </c>
      <c r="D10" s="56">
        <f t="shared" si="2"/>
        <v>-4.2</v>
      </c>
      <c r="E10" s="56">
        <f t="shared" si="3"/>
        <v>-5.04</v>
      </c>
    </row>
    <row r="11">
      <c r="A11" s="55">
        <v>43332.0</v>
      </c>
      <c r="B11" s="56">
        <v>87.9</v>
      </c>
      <c r="C11" s="40">
        <f t="shared" si="1"/>
        <v>46</v>
      </c>
      <c r="D11" s="56">
        <f t="shared" si="2"/>
        <v>-2.3</v>
      </c>
      <c r="E11" s="56">
        <f t="shared" si="3"/>
        <v>-1.468085106</v>
      </c>
    </row>
    <row r="12">
      <c r="A12" s="55">
        <v>43334.0</v>
      </c>
      <c r="B12" s="56">
        <v>87.6</v>
      </c>
      <c r="C12" s="40">
        <f t="shared" si="1"/>
        <v>48</v>
      </c>
      <c r="D12" s="56">
        <f t="shared" si="2"/>
        <v>-2.6</v>
      </c>
      <c r="E12" s="56">
        <f t="shared" si="3"/>
        <v>-1.591836735</v>
      </c>
    </row>
    <row r="13">
      <c r="A13" s="55">
        <v>43336.0</v>
      </c>
      <c r="B13" s="56">
        <v>86.3</v>
      </c>
      <c r="C13" s="40">
        <f t="shared" si="1"/>
        <v>50</v>
      </c>
      <c r="D13" s="56">
        <f t="shared" si="2"/>
        <v>-3.9</v>
      </c>
      <c r="E13" s="56">
        <f t="shared" si="3"/>
        <v>-2.294117647</v>
      </c>
    </row>
    <row r="14">
      <c r="A14" s="55">
        <v>43338.0</v>
      </c>
      <c r="B14" s="56">
        <v>86.6</v>
      </c>
      <c r="C14" s="40">
        <f t="shared" si="1"/>
        <v>52</v>
      </c>
      <c r="D14" s="56">
        <f t="shared" si="2"/>
        <v>-3.6</v>
      </c>
      <c r="E14" s="56">
        <f t="shared" si="3"/>
        <v>-2.037735849</v>
      </c>
    </row>
    <row r="15">
      <c r="A15" s="55">
        <v>43340.0</v>
      </c>
      <c r="B15" s="56">
        <v>86.5</v>
      </c>
      <c r="C15" s="40">
        <f t="shared" si="1"/>
        <v>54</v>
      </c>
      <c r="D15" s="56">
        <f t="shared" si="2"/>
        <v>-3.7</v>
      </c>
      <c r="E15" s="56">
        <f t="shared" si="3"/>
        <v>-2.018181818</v>
      </c>
    </row>
    <row r="16">
      <c r="A16" s="55">
        <v>43341.0</v>
      </c>
      <c r="B16" s="56">
        <v>87.0</v>
      </c>
      <c r="C16" s="40">
        <f t="shared" si="1"/>
        <v>55</v>
      </c>
      <c r="D16" s="56">
        <f t="shared" si="2"/>
        <v>-3.2</v>
      </c>
      <c r="E16" s="56">
        <f t="shared" si="3"/>
        <v>-1.714285714</v>
      </c>
    </row>
    <row r="17">
      <c r="A17" s="55">
        <v>43343.0</v>
      </c>
      <c r="B17" s="56">
        <v>86.2</v>
      </c>
      <c r="C17" s="40">
        <f t="shared" si="1"/>
        <v>57</v>
      </c>
      <c r="D17" s="56">
        <f t="shared" si="2"/>
        <v>-4</v>
      </c>
      <c r="E17" s="56">
        <f t="shared" si="3"/>
        <v>-2.068965517</v>
      </c>
    </row>
    <row r="18">
      <c r="A18" s="55">
        <v>43348.0</v>
      </c>
      <c r="B18" s="56">
        <v>86.4</v>
      </c>
      <c r="C18" s="40">
        <f t="shared" si="1"/>
        <v>61</v>
      </c>
      <c r="D18" s="56">
        <f t="shared" si="2"/>
        <v>-3.8</v>
      </c>
      <c r="E18" s="56">
        <f t="shared" si="3"/>
        <v>-1.838709677</v>
      </c>
    </row>
    <row r="19">
      <c r="A19" s="55">
        <v>43350.0</v>
      </c>
      <c r="B19" s="56">
        <v>85.4</v>
      </c>
      <c r="C19" s="40">
        <f t="shared" si="1"/>
        <v>63</v>
      </c>
      <c r="D19" s="56">
        <f t="shared" si="2"/>
        <v>-4.8</v>
      </c>
      <c r="E19" s="56">
        <f t="shared" si="3"/>
        <v>-2.25</v>
      </c>
      <c r="F19" s="57" t="s">
        <v>142</v>
      </c>
      <c r="G19" s="58" t="s">
        <v>143</v>
      </c>
      <c r="H19" s="59" t="s">
        <v>144</v>
      </c>
      <c r="I19" s="60" t="s">
        <v>145</v>
      </c>
      <c r="J19" s="61" t="s">
        <v>146</v>
      </c>
    </row>
    <row r="20">
      <c r="A20" s="55">
        <v>43353.0</v>
      </c>
      <c r="B20" s="56">
        <v>85.6</v>
      </c>
      <c r="C20" s="40">
        <f t="shared" si="1"/>
        <v>66</v>
      </c>
      <c r="D20" s="56">
        <f t="shared" si="2"/>
        <v>-4.6</v>
      </c>
      <c r="E20" s="56">
        <f t="shared" si="3"/>
        <v>-2.059701493</v>
      </c>
      <c r="F20" s="62" t="s">
        <v>147</v>
      </c>
      <c r="G20" s="63" t="s">
        <v>144</v>
      </c>
      <c r="H20" s="64" t="s">
        <v>148</v>
      </c>
      <c r="I20" s="65" t="s">
        <v>149</v>
      </c>
      <c r="J20" s="66" t="s">
        <v>150</v>
      </c>
    </row>
    <row r="21">
      <c r="A21" s="55">
        <v>43355.0</v>
      </c>
      <c r="B21" s="56">
        <v>85.3</v>
      </c>
      <c r="C21" s="40">
        <f t="shared" si="1"/>
        <v>68</v>
      </c>
      <c r="D21" s="56">
        <f t="shared" si="2"/>
        <v>-4.9</v>
      </c>
      <c r="E21" s="56">
        <f t="shared" si="3"/>
        <v>-2.130434783</v>
      </c>
      <c r="F21" s="62" t="s">
        <v>144</v>
      </c>
      <c r="G21" s="63" t="s">
        <v>151</v>
      </c>
      <c r="H21" s="64" t="s">
        <v>152</v>
      </c>
      <c r="I21" s="65" t="s">
        <v>152</v>
      </c>
      <c r="J21" s="66" t="s">
        <v>152</v>
      </c>
    </row>
    <row r="22">
      <c r="A22" s="55">
        <v>43356.0</v>
      </c>
      <c r="B22" s="56">
        <v>84.8</v>
      </c>
      <c r="C22" s="40">
        <f t="shared" si="1"/>
        <v>69</v>
      </c>
      <c r="D22" s="56">
        <f t="shared" si="2"/>
        <v>-5.4</v>
      </c>
      <c r="E22" s="56">
        <f t="shared" si="3"/>
        <v>-2.314285714</v>
      </c>
      <c r="F22" s="62" t="s">
        <v>153</v>
      </c>
      <c r="G22" s="63" t="s">
        <v>152</v>
      </c>
      <c r="H22" s="64" t="s">
        <v>147</v>
      </c>
      <c r="I22" s="67" t="s">
        <v>144</v>
      </c>
      <c r="J22" s="68" t="s">
        <v>154</v>
      </c>
    </row>
    <row r="23">
      <c r="A23" s="55">
        <v>43357.0</v>
      </c>
      <c r="B23" s="56">
        <v>84.2</v>
      </c>
      <c r="C23" s="40">
        <f t="shared" si="1"/>
        <v>70</v>
      </c>
      <c r="D23" s="56">
        <f t="shared" si="2"/>
        <v>-6</v>
      </c>
      <c r="E23" s="56">
        <f t="shared" si="3"/>
        <v>-2.535211268</v>
      </c>
    </row>
    <row r="24">
      <c r="A24" s="55">
        <v>43358.0</v>
      </c>
      <c r="B24" s="56">
        <v>85.2</v>
      </c>
      <c r="C24" s="40">
        <f t="shared" si="1"/>
        <v>71</v>
      </c>
      <c r="D24" s="56">
        <f t="shared" si="2"/>
        <v>-5</v>
      </c>
      <c r="E24" s="56">
        <f t="shared" si="3"/>
        <v>-2.083333333</v>
      </c>
    </row>
    <row r="25">
      <c r="A25" s="55">
        <v>43359.0</v>
      </c>
      <c r="B25" s="56">
        <v>85.2</v>
      </c>
      <c r="C25" s="40">
        <f t="shared" si="1"/>
        <v>72</v>
      </c>
      <c r="D25" s="56">
        <f t="shared" si="2"/>
        <v>-5</v>
      </c>
      <c r="E25" s="56">
        <f t="shared" si="3"/>
        <v>-2.054794521</v>
      </c>
    </row>
    <row r="26">
      <c r="A26" s="55">
        <v>43361.0</v>
      </c>
      <c r="B26" s="56">
        <v>85.1</v>
      </c>
      <c r="C26" s="40">
        <f t="shared" si="1"/>
        <v>74</v>
      </c>
      <c r="D26" s="56">
        <f t="shared" si="2"/>
        <v>-5.1</v>
      </c>
      <c r="E26" s="56">
        <f t="shared" si="3"/>
        <v>-2.04</v>
      </c>
    </row>
    <row r="27">
      <c r="A27" s="55">
        <v>43362.0</v>
      </c>
      <c r="B27" s="56">
        <v>85.1</v>
      </c>
      <c r="C27" s="40">
        <f t="shared" si="1"/>
        <v>75</v>
      </c>
      <c r="D27" s="56">
        <f t="shared" si="2"/>
        <v>-5.1</v>
      </c>
      <c r="E27" s="56">
        <f t="shared" si="3"/>
        <v>-2.013157895</v>
      </c>
    </row>
    <row r="28">
      <c r="A28" s="55">
        <v>43363.0</v>
      </c>
      <c r="B28" s="56">
        <v>83.8</v>
      </c>
      <c r="C28" s="40">
        <f t="shared" si="1"/>
        <v>76</v>
      </c>
      <c r="D28" s="56">
        <f t="shared" si="2"/>
        <v>-6.4</v>
      </c>
      <c r="E28" s="56">
        <f t="shared" si="3"/>
        <v>-2.493506494</v>
      </c>
    </row>
    <row r="29">
      <c r="A29" s="55">
        <v>43364.0</v>
      </c>
      <c r="B29" s="56">
        <v>84.0</v>
      </c>
      <c r="C29" s="40">
        <f t="shared" si="1"/>
        <v>77</v>
      </c>
      <c r="D29" s="56">
        <f t="shared" si="2"/>
        <v>-6.2</v>
      </c>
      <c r="E29" s="56">
        <f t="shared" si="3"/>
        <v>-2.384615385</v>
      </c>
    </row>
    <row r="30">
      <c r="A30" s="55">
        <v>43367.0</v>
      </c>
      <c r="B30" s="56">
        <v>83.8</v>
      </c>
      <c r="C30" s="40">
        <f t="shared" si="1"/>
        <v>80</v>
      </c>
      <c r="D30" s="56">
        <f t="shared" si="2"/>
        <v>-6.4</v>
      </c>
      <c r="E30" s="56">
        <f t="shared" si="3"/>
        <v>-2.37037037</v>
      </c>
    </row>
    <row r="31">
      <c r="A31" s="69">
        <v>43370.0</v>
      </c>
      <c r="B31" s="56">
        <v>82.9</v>
      </c>
      <c r="C31" s="40">
        <f t="shared" si="1"/>
        <v>83</v>
      </c>
      <c r="D31" s="56">
        <f t="shared" si="2"/>
        <v>-7.3</v>
      </c>
      <c r="E31" s="56">
        <f t="shared" si="3"/>
        <v>-2.607142857</v>
      </c>
    </row>
    <row r="32">
      <c r="A32" s="55">
        <v>43375.0</v>
      </c>
      <c r="B32" s="56">
        <v>83.7</v>
      </c>
      <c r="C32" s="40">
        <f t="shared" si="1"/>
        <v>88</v>
      </c>
      <c r="D32" s="56">
        <f t="shared" si="2"/>
        <v>-6.5</v>
      </c>
      <c r="E32" s="56">
        <f t="shared" si="3"/>
        <v>-2.191011236</v>
      </c>
    </row>
    <row r="33">
      <c r="A33" s="69">
        <v>43377.0</v>
      </c>
      <c r="B33" s="56">
        <v>82.6</v>
      </c>
      <c r="C33" s="40">
        <f t="shared" si="1"/>
        <v>90</v>
      </c>
      <c r="D33" s="56">
        <f t="shared" si="2"/>
        <v>-7.6</v>
      </c>
      <c r="E33" s="56">
        <f t="shared" si="3"/>
        <v>-2.505494505</v>
      </c>
    </row>
    <row r="34">
      <c r="A34" s="55">
        <v>43378.0</v>
      </c>
      <c r="B34" s="56">
        <v>83.3</v>
      </c>
      <c r="C34" s="40">
        <f t="shared" si="1"/>
        <v>91</v>
      </c>
      <c r="D34" s="56">
        <f t="shared" si="2"/>
        <v>-6.9</v>
      </c>
      <c r="E34" s="56">
        <f t="shared" si="3"/>
        <v>-2.25</v>
      </c>
    </row>
    <row r="35">
      <c r="A35" s="69">
        <v>43380.0</v>
      </c>
      <c r="B35" s="56">
        <v>83.7</v>
      </c>
      <c r="C35" s="40">
        <f t="shared" si="1"/>
        <v>93</v>
      </c>
      <c r="D35" s="56">
        <f t="shared" si="2"/>
        <v>-6.5</v>
      </c>
      <c r="E35" s="56">
        <f t="shared" si="3"/>
        <v>-2.074468085</v>
      </c>
    </row>
    <row r="36">
      <c r="A36" s="69">
        <v>43381.0</v>
      </c>
      <c r="B36" s="56">
        <v>83.7</v>
      </c>
      <c r="C36" s="40">
        <f t="shared" si="1"/>
        <v>94</v>
      </c>
      <c r="D36" s="56">
        <f t="shared" si="2"/>
        <v>-6.5</v>
      </c>
      <c r="E36" s="56">
        <f t="shared" si="3"/>
        <v>-2.052631579</v>
      </c>
    </row>
    <row r="37">
      <c r="A37" s="69">
        <v>43382.0</v>
      </c>
      <c r="B37" s="56">
        <v>83.5</v>
      </c>
      <c r="C37" s="40">
        <f t="shared" si="1"/>
        <v>95</v>
      </c>
      <c r="D37" s="56">
        <f t="shared" si="2"/>
        <v>-6.7</v>
      </c>
      <c r="E37" s="56">
        <f t="shared" si="3"/>
        <v>-2.09375</v>
      </c>
    </row>
    <row r="38">
      <c r="A38" s="69">
        <v>43384.0</v>
      </c>
      <c r="B38" s="56">
        <v>82.2</v>
      </c>
      <c r="C38" s="40">
        <f t="shared" si="1"/>
        <v>97</v>
      </c>
      <c r="D38" s="56">
        <f t="shared" si="2"/>
        <v>-8</v>
      </c>
      <c r="E38" s="56">
        <f t="shared" si="3"/>
        <v>-2.448979592</v>
      </c>
    </row>
    <row r="39">
      <c r="A39" s="69">
        <v>43389.0</v>
      </c>
      <c r="B39" s="56">
        <v>82.8</v>
      </c>
      <c r="C39" s="40">
        <f t="shared" si="1"/>
        <v>102</v>
      </c>
      <c r="D39" s="56">
        <f t="shared" si="2"/>
        <v>-7.4</v>
      </c>
      <c r="E39" s="56">
        <f t="shared" si="3"/>
        <v>-2.155339806</v>
      </c>
    </row>
    <row r="40">
      <c r="A40" s="69">
        <v>43391.0</v>
      </c>
      <c r="B40" s="56">
        <v>81.2</v>
      </c>
      <c r="C40" s="40">
        <f t="shared" si="1"/>
        <v>104</v>
      </c>
      <c r="D40" s="56">
        <f t="shared" si="2"/>
        <v>-9</v>
      </c>
      <c r="E40" s="56">
        <f t="shared" si="3"/>
        <v>-2.571428571</v>
      </c>
    </row>
    <row r="41">
      <c r="A41" s="69">
        <v>43394.0</v>
      </c>
      <c r="B41" s="56">
        <v>84.5</v>
      </c>
      <c r="C41" s="40">
        <f t="shared" si="1"/>
        <v>107</v>
      </c>
      <c r="D41" s="56">
        <f t="shared" si="2"/>
        <v>-5.7</v>
      </c>
      <c r="E41" s="56">
        <f t="shared" si="3"/>
        <v>-1.583333333</v>
      </c>
    </row>
    <row r="42">
      <c r="A42" s="69">
        <v>43396.0</v>
      </c>
      <c r="B42" s="56">
        <v>82.3</v>
      </c>
      <c r="C42" s="40">
        <f t="shared" si="1"/>
        <v>109</v>
      </c>
      <c r="D42" s="56">
        <f t="shared" si="2"/>
        <v>-7.9</v>
      </c>
      <c r="E42" s="56">
        <f t="shared" si="3"/>
        <v>-2.154545455</v>
      </c>
    </row>
    <row r="43">
      <c r="A43" s="69">
        <v>43397.0</v>
      </c>
      <c r="B43" s="56">
        <v>82.4</v>
      </c>
      <c r="C43" s="40">
        <f t="shared" si="1"/>
        <v>110</v>
      </c>
      <c r="D43" s="56">
        <f t="shared" si="2"/>
        <v>-7.8</v>
      </c>
      <c r="E43" s="56">
        <f t="shared" si="3"/>
        <v>-2.108108108</v>
      </c>
    </row>
    <row r="44">
      <c r="A44" s="69">
        <v>43398.0</v>
      </c>
      <c r="B44" s="56">
        <v>81.0</v>
      </c>
      <c r="C44" s="40">
        <f t="shared" si="1"/>
        <v>111</v>
      </c>
      <c r="D44" s="56">
        <f t="shared" si="2"/>
        <v>-9.2</v>
      </c>
      <c r="E44" s="56">
        <f t="shared" si="3"/>
        <v>-2.464285714</v>
      </c>
    </row>
    <row r="45">
      <c r="A45" s="69">
        <v>43399.0</v>
      </c>
      <c r="B45" s="56">
        <v>82.1</v>
      </c>
      <c r="C45" s="40">
        <f t="shared" si="1"/>
        <v>112</v>
      </c>
      <c r="D45" s="56">
        <f t="shared" si="2"/>
        <v>-8.1</v>
      </c>
      <c r="E45" s="56">
        <f t="shared" si="3"/>
        <v>-2.150442478</v>
      </c>
    </row>
    <row r="46">
      <c r="A46" s="69">
        <v>43401.0</v>
      </c>
      <c r="B46" s="56">
        <v>81.8</v>
      </c>
      <c r="C46" s="40">
        <f t="shared" si="1"/>
        <v>114</v>
      </c>
      <c r="D46" s="56">
        <f t="shared" si="2"/>
        <v>-8.4</v>
      </c>
      <c r="E46" s="56">
        <f t="shared" si="3"/>
        <v>-2.191304348</v>
      </c>
    </row>
    <row r="47">
      <c r="A47" s="55">
        <v>43408.0</v>
      </c>
      <c r="B47" s="56">
        <v>84.7</v>
      </c>
      <c r="C47" s="40">
        <f t="shared" si="1"/>
        <v>120</v>
      </c>
      <c r="D47" s="56">
        <f t="shared" si="2"/>
        <v>-5.5</v>
      </c>
      <c r="E47" s="56">
        <f t="shared" si="3"/>
        <v>-1.363636364</v>
      </c>
    </row>
    <row r="48">
      <c r="A48" s="55">
        <v>43410.0</v>
      </c>
      <c r="B48" s="56">
        <v>82.9</v>
      </c>
      <c r="C48" s="40">
        <f t="shared" si="1"/>
        <v>122</v>
      </c>
      <c r="D48" s="56">
        <f t="shared" si="2"/>
        <v>-7.3</v>
      </c>
      <c r="E48" s="56">
        <f t="shared" si="3"/>
        <v>-1.780487805</v>
      </c>
    </row>
    <row r="49">
      <c r="A49" s="55">
        <v>43412.0</v>
      </c>
      <c r="B49" s="56">
        <v>81.6</v>
      </c>
      <c r="C49" s="40">
        <f t="shared" si="1"/>
        <v>124</v>
      </c>
      <c r="D49" s="56">
        <f t="shared" si="2"/>
        <v>-8.6</v>
      </c>
      <c r="E49" s="56">
        <f t="shared" si="3"/>
        <v>-2.064</v>
      </c>
    </row>
    <row r="50">
      <c r="A50" s="55">
        <v>43413.0</v>
      </c>
      <c r="B50" s="56">
        <v>82.3</v>
      </c>
      <c r="C50" s="40">
        <f t="shared" si="1"/>
        <v>125</v>
      </c>
      <c r="D50" s="56">
        <f t="shared" si="2"/>
        <v>-7.9</v>
      </c>
      <c r="E50" s="56">
        <f t="shared" si="3"/>
        <v>-1.880952381</v>
      </c>
    </row>
    <row r="51">
      <c r="A51" s="69">
        <v>43416.0</v>
      </c>
      <c r="B51" s="56">
        <v>82.8</v>
      </c>
      <c r="C51" s="40">
        <f t="shared" si="1"/>
        <v>128</v>
      </c>
      <c r="D51" s="56">
        <f t="shared" si="2"/>
        <v>-7.4</v>
      </c>
      <c r="E51" s="56">
        <f t="shared" si="3"/>
        <v>-1.720930233</v>
      </c>
    </row>
    <row r="52">
      <c r="A52" s="69">
        <v>43419.0</v>
      </c>
      <c r="B52" s="56">
        <v>81.2</v>
      </c>
      <c r="C52" s="40">
        <f t="shared" si="1"/>
        <v>131</v>
      </c>
      <c r="D52" s="56">
        <f t="shared" si="2"/>
        <v>-9</v>
      </c>
      <c r="E52" s="56">
        <f t="shared" si="3"/>
        <v>-2.045454545</v>
      </c>
    </row>
    <row r="53">
      <c r="A53" s="69">
        <v>43420.0</v>
      </c>
      <c r="B53" s="56">
        <v>81.7</v>
      </c>
      <c r="C53" s="40">
        <f t="shared" si="1"/>
        <v>132</v>
      </c>
      <c r="D53" s="56">
        <f t="shared" si="2"/>
        <v>-8.5</v>
      </c>
      <c r="E53" s="56">
        <f t="shared" si="3"/>
        <v>-1.917293233</v>
      </c>
    </row>
    <row r="54">
      <c r="A54" s="55">
        <v>43423.0</v>
      </c>
      <c r="B54" s="56">
        <v>82.2</v>
      </c>
      <c r="C54" s="40">
        <f t="shared" si="1"/>
        <v>135</v>
      </c>
      <c r="D54" s="56">
        <f t="shared" si="2"/>
        <v>-8</v>
      </c>
      <c r="E54" s="56">
        <f t="shared" si="3"/>
        <v>-1.764705882</v>
      </c>
    </row>
    <row r="55">
      <c r="A55" s="55">
        <v>43425.0</v>
      </c>
      <c r="B55" s="56">
        <v>82.2</v>
      </c>
      <c r="C55" s="40">
        <f t="shared" si="1"/>
        <v>137</v>
      </c>
      <c r="D55" s="56">
        <f t="shared" si="2"/>
        <v>-8</v>
      </c>
      <c r="E55" s="56">
        <f t="shared" si="3"/>
        <v>-1.739130435</v>
      </c>
    </row>
    <row r="56">
      <c r="A56" s="69">
        <v>43426.0</v>
      </c>
      <c r="B56" s="56">
        <v>80.2</v>
      </c>
      <c r="C56" s="40">
        <f t="shared" si="1"/>
        <v>138</v>
      </c>
      <c r="D56" s="56">
        <f t="shared" si="2"/>
        <v>-10</v>
      </c>
      <c r="E56" s="56">
        <f t="shared" si="3"/>
        <v>-2.158273381</v>
      </c>
    </row>
    <row r="57">
      <c r="A57" s="69">
        <v>43433.0</v>
      </c>
      <c r="B57" s="56">
        <v>80.4</v>
      </c>
      <c r="C57" s="40">
        <f t="shared" si="1"/>
        <v>145</v>
      </c>
      <c r="D57" s="56">
        <f t="shared" si="2"/>
        <v>-9.8</v>
      </c>
      <c r="E57" s="56">
        <f t="shared" si="3"/>
        <v>-2.01369863</v>
      </c>
    </row>
    <row r="58">
      <c r="A58" s="55">
        <v>43438.0</v>
      </c>
      <c r="B58" s="56">
        <v>81.4</v>
      </c>
      <c r="C58" s="40">
        <f t="shared" si="1"/>
        <v>150</v>
      </c>
      <c r="D58" s="56">
        <f t="shared" si="2"/>
        <v>-8.8</v>
      </c>
      <c r="E58" s="56">
        <f t="shared" si="3"/>
        <v>-1.748344371</v>
      </c>
    </row>
    <row r="59">
      <c r="A59" s="69">
        <v>43439.0</v>
      </c>
      <c r="B59" s="56">
        <v>81.1</v>
      </c>
      <c r="C59" s="40">
        <f t="shared" si="1"/>
        <v>151</v>
      </c>
      <c r="D59" s="56">
        <f t="shared" si="2"/>
        <v>-9.1</v>
      </c>
      <c r="E59" s="56">
        <f t="shared" si="3"/>
        <v>-1.796052632</v>
      </c>
    </row>
    <row r="60">
      <c r="A60" s="69">
        <v>43440.0</v>
      </c>
      <c r="B60" s="40">
        <v>79.9</v>
      </c>
      <c r="C60" s="40">
        <f t="shared" si="1"/>
        <v>152</v>
      </c>
      <c r="D60" s="56">
        <f t="shared" si="2"/>
        <v>-10.3</v>
      </c>
      <c r="E60" s="56">
        <f t="shared" si="3"/>
        <v>-2.019607843</v>
      </c>
    </row>
    <row r="61">
      <c r="A61" s="69">
        <v>43452.0</v>
      </c>
      <c r="B61" s="40">
        <v>81.2</v>
      </c>
      <c r="C61" s="40">
        <f t="shared" si="1"/>
        <v>164</v>
      </c>
      <c r="D61" s="56">
        <f t="shared" si="2"/>
        <v>-9</v>
      </c>
      <c r="E61" s="56">
        <f t="shared" si="3"/>
        <v>-1.636363636</v>
      </c>
    </row>
    <row r="62">
      <c r="A62" s="69">
        <v>43454.0</v>
      </c>
      <c r="B62" s="40">
        <v>79.4</v>
      </c>
      <c r="C62" s="40">
        <f t="shared" si="1"/>
        <v>166</v>
      </c>
      <c r="D62" s="56">
        <f t="shared" si="2"/>
        <v>-10.8</v>
      </c>
      <c r="E62" s="56">
        <f t="shared" si="3"/>
        <v>-1.94011976</v>
      </c>
    </row>
    <row r="63">
      <c r="A63" s="69">
        <v>43470.0</v>
      </c>
      <c r="B63" s="40">
        <v>82.8</v>
      </c>
      <c r="C63" s="40">
        <f t="shared" si="1"/>
        <v>181</v>
      </c>
      <c r="D63" s="56">
        <f t="shared" si="2"/>
        <v>-7.4</v>
      </c>
      <c r="E63" s="56">
        <f t="shared" si="3"/>
        <v>-1.21978022</v>
      </c>
    </row>
    <row r="64">
      <c r="A64" s="69">
        <v>43497.0</v>
      </c>
      <c r="B64" s="40">
        <v>79.3</v>
      </c>
      <c r="C64" s="40">
        <f t="shared" si="1"/>
        <v>207</v>
      </c>
      <c r="D64" s="56">
        <f t="shared" si="2"/>
        <v>-10.9</v>
      </c>
      <c r="E64" s="56">
        <f t="shared" si="3"/>
        <v>-1.572115385</v>
      </c>
    </row>
    <row r="65">
      <c r="A65" s="69">
        <v>43608.0</v>
      </c>
      <c r="B65" s="40">
        <v>80.5</v>
      </c>
      <c r="C65" s="40">
        <f t="shared" si="1"/>
        <v>319</v>
      </c>
      <c r="D65" s="56">
        <f t="shared" si="2"/>
        <v>-9.7</v>
      </c>
      <c r="E65" s="56">
        <f t="shared" si="3"/>
        <v>-0.909375</v>
      </c>
      <c r="F65" s="44" t="s">
        <v>155</v>
      </c>
    </row>
    <row r="66">
      <c r="A66" s="69">
        <v>43613.0</v>
      </c>
      <c r="B66" s="40">
        <v>80.6</v>
      </c>
      <c r="C66" s="40">
        <f t="shared" si="1"/>
        <v>324</v>
      </c>
      <c r="D66" s="56">
        <f t="shared" si="2"/>
        <v>-9.6</v>
      </c>
      <c r="E66" s="56">
        <f t="shared" si="3"/>
        <v>-0.8861538462</v>
      </c>
    </row>
    <row r="67">
      <c r="A67" s="55">
        <v>43615.0</v>
      </c>
      <c r="B67" s="40">
        <v>79.3</v>
      </c>
      <c r="C67" s="40">
        <f t="shared" si="1"/>
        <v>326</v>
      </c>
      <c r="D67" s="56">
        <f t="shared" si="2"/>
        <v>-10.9</v>
      </c>
      <c r="E67" s="56">
        <f t="shared" si="3"/>
        <v>-1</v>
      </c>
    </row>
    <row r="68">
      <c r="A68" s="69">
        <v>43619.0</v>
      </c>
      <c r="B68" s="40">
        <v>81.5</v>
      </c>
      <c r="C68" s="40">
        <f t="shared" si="1"/>
        <v>329</v>
      </c>
      <c r="D68" s="56">
        <f t="shared" si="2"/>
        <v>-8.7</v>
      </c>
      <c r="E68" s="56">
        <f t="shared" si="3"/>
        <v>-0.7909090909</v>
      </c>
    </row>
    <row r="69">
      <c r="A69" s="69">
        <v>43631.0</v>
      </c>
      <c r="B69" s="40">
        <v>80.3</v>
      </c>
      <c r="C69" s="40">
        <f t="shared" si="1"/>
        <v>341</v>
      </c>
      <c r="D69" s="56">
        <f t="shared" si="2"/>
        <v>-9.9</v>
      </c>
      <c r="E69" s="56">
        <f t="shared" si="3"/>
        <v>-0.8684210526</v>
      </c>
      <c r="F69" s="44" t="s">
        <v>156</v>
      </c>
    </row>
    <row r="70">
      <c r="A70" s="69">
        <v>43636.0</v>
      </c>
      <c r="B70" s="40">
        <v>78.7</v>
      </c>
      <c r="C70" s="40">
        <f t="shared" si="1"/>
        <v>346</v>
      </c>
      <c r="D70" s="56">
        <f t="shared" si="2"/>
        <v>-11.5</v>
      </c>
      <c r="E70" s="56">
        <f t="shared" si="3"/>
        <v>-0.9942363112</v>
      </c>
    </row>
    <row r="71">
      <c r="A71" s="55">
        <v>43672.0</v>
      </c>
      <c r="B71" s="40">
        <v>80.3</v>
      </c>
      <c r="C71" s="40">
        <f t="shared" si="1"/>
        <v>382</v>
      </c>
      <c r="D71" s="56">
        <f t="shared" si="2"/>
        <v>-9.9</v>
      </c>
      <c r="E71" s="56">
        <f t="shared" si="3"/>
        <v>-0.7754569191</v>
      </c>
      <c r="F71" s="44" t="s">
        <v>157</v>
      </c>
    </row>
    <row r="72">
      <c r="A72" s="55"/>
      <c r="B72" s="40"/>
      <c r="C72" s="40" t="str">
        <f t="shared" si="1"/>
        <v/>
      </c>
      <c r="D72" s="40" t="str">
        <f t="shared" si="2"/>
        <v/>
      </c>
      <c r="E72" s="56" t="str">
        <f t="shared" si="3"/>
        <v/>
      </c>
    </row>
    <row r="73">
      <c r="A73" s="55"/>
      <c r="B73" s="40"/>
      <c r="C73" s="40" t="str">
        <f t="shared" si="1"/>
        <v/>
      </c>
      <c r="D73" s="40" t="str">
        <f t="shared" si="2"/>
        <v/>
      </c>
      <c r="E73" s="56" t="str">
        <f t="shared" si="3"/>
        <v/>
      </c>
    </row>
    <row r="74">
      <c r="A74" s="55"/>
      <c r="B74" s="40"/>
      <c r="C74" s="40" t="str">
        <f t="shared" si="1"/>
        <v/>
      </c>
      <c r="D74" s="40" t="str">
        <f t="shared" si="2"/>
        <v/>
      </c>
      <c r="E74" s="56" t="str">
        <f t="shared" si="3"/>
        <v/>
      </c>
    </row>
    <row r="75">
      <c r="A75" s="55"/>
      <c r="B75" s="40"/>
      <c r="C75" s="40" t="str">
        <f t="shared" si="1"/>
        <v/>
      </c>
      <c r="D75" s="40" t="str">
        <f t="shared" si="2"/>
        <v/>
      </c>
      <c r="E75" s="56" t="str">
        <f t="shared" si="3"/>
        <v/>
      </c>
    </row>
    <row r="76">
      <c r="A76" s="55"/>
      <c r="B76" s="40"/>
      <c r="C76" s="40" t="str">
        <f t="shared" si="1"/>
        <v/>
      </c>
      <c r="D76" s="40" t="str">
        <f t="shared" si="2"/>
        <v/>
      </c>
      <c r="E76" s="56" t="str">
        <f t="shared" si="3"/>
        <v/>
      </c>
    </row>
    <row r="77">
      <c r="A77" s="55"/>
      <c r="B77" s="40"/>
      <c r="C77" s="40" t="str">
        <f t="shared" si="1"/>
        <v/>
      </c>
      <c r="D77" s="40" t="str">
        <f t="shared" si="2"/>
        <v/>
      </c>
      <c r="E77" s="56" t="str">
        <f t="shared" si="3"/>
        <v/>
      </c>
    </row>
    <row r="78">
      <c r="A78" s="55"/>
      <c r="B78" s="40"/>
      <c r="C78" s="40" t="str">
        <f t="shared" si="1"/>
        <v/>
      </c>
      <c r="D78" s="40" t="str">
        <f t="shared" si="2"/>
        <v/>
      </c>
      <c r="E78" s="56" t="str">
        <f t="shared" si="3"/>
        <v/>
      </c>
    </row>
    <row r="79">
      <c r="A79" s="55"/>
      <c r="B79" s="40"/>
      <c r="C79" s="40" t="str">
        <f t="shared" si="1"/>
        <v/>
      </c>
      <c r="D79" s="40" t="str">
        <f t="shared" si="2"/>
        <v/>
      </c>
      <c r="E79" s="56" t="str">
        <f t="shared" si="3"/>
        <v/>
      </c>
    </row>
    <row r="80">
      <c r="A80" s="55"/>
      <c r="B80" s="40"/>
      <c r="C80" s="40" t="str">
        <f t="shared" si="1"/>
        <v/>
      </c>
      <c r="D80" s="40" t="str">
        <f t="shared" si="2"/>
        <v/>
      </c>
      <c r="E80" s="56" t="str">
        <f t="shared" si="3"/>
        <v/>
      </c>
    </row>
    <row r="81">
      <c r="A81" s="55"/>
      <c r="B81" s="40"/>
      <c r="C81" s="40" t="str">
        <f t="shared" si="1"/>
        <v/>
      </c>
      <c r="D81" s="40" t="str">
        <f t="shared" si="2"/>
        <v/>
      </c>
      <c r="E81" s="56" t="str">
        <f t="shared" si="3"/>
        <v/>
      </c>
    </row>
    <row r="82">
      <c r="A82" s="55"/>
      <c r="B82" s="40"/>
      <c r="C82" s="40" t="str">
        <f t="shared" si="1"/>
        <v/>
      </c>
      <c r="D82" s="40" t="str">
        <f t="shared" si="2"/>
        <v/>
      </c>
      <c r="E82" s="56" t="str">
        <f t="shared" si="3"/>
        <v/>
      </c>
    </row>
    <row r="83">
      <c r="A83" s="55"/>
      <c r="B83" s="40"/>
      <c r="C83" s="40" t="str">
        <f t="shared" si="1"/>
        <v/>
      </c>
      <c r="D83" s="40" t="str">
        <f t="shared" si="2"/>
        <v/>
      </c>
      <c r="E83" s="56" t="str">
        <f t="shared" si="3"/>
        <v/>
      </c>
    </row>
    <row r="84">
      <c r="A84" s="55"/>
      <c r="B84" s="40"/>
      <c r="C84" s="40" t="str">
        <f t="shared" si="1"/>
        <v/>
      </c>
      <c r="D84" s="40" t="str">
        <f t="shared" si="2"/>
        <v/>
      </c>
      <c r="E84" s="56" t="str">
        <f t="shared" si="3"/>
        <v/>
      </c>
    </row>
    <row r="85">
      <c r="A85" s="55"/>
      <c r="B85" s="40"/>
      <c r="C85" s="40" t="str">
        <f t="shared" si="1"/>
        <v/>
      </c>
      <c r="D85" s="40" t="str">
        <f t="shared" si="2"/>
        <v/>
      </c>
      <c r="E85" s="56" t="str">
        <f t="shared" si="3"/>
        <v/>
      </c>
    </row>
    <row r="86">
      <c r="A86" s="55"/>
      <c r="B86" s="40"/>
      <c r="C86" s="40" t="str">
        <f t="shared" si="1"/>
        <v/>
      </c>
      <c r="D86" s="40" t="str">
        <f t="shared" si="2"/>
        <v/>
      </c>
      <c r="E86" s="56" t="str">
        <f t="shared" si="3"/>
        <v/>
      </c>
    </row>
    <row r="87">
      <c r="A87" s="55"/>
      <c r="B87" s="40"/>
      <c r="C87" s="40" t="str">
        <f t="shared" si="1"/>
        <v/>
      </c>
      <c r="D87" s="40" t="str">
        <f t="shared" si="2"/>
        <v/>
      </c>
      <c r="E87" s="56" t="str">
        <f t="shared" si="3"/>
        <v/>
      </c>
    </row>
    <row r="88">
      <c r="A88" s="55"/>
      <c r="B88" s="40"/>
      <c r="C88" s="40" t="str">
        <f t="shared" si="1"/>
        <v/>
      </c>
      <c r="D88" s="40" t="str">
        <f t="shared" si="2"/>
        <v/>
      </c>
      <c r="E88" s="56" t="str">
        <f t="shared" si="3"/>
        <v/>
      </c>
    </row>
    <row r="89">
      <c r="A89" s="55"/>
      <c r="B89" s="40"/>
      <c r="C89" s="40" t="str">
        <f t="shared" si="1"/>
        <v/>
      </c>
      <c r="D89" s="40" t="str">
        <f t="shared" si="2"/>
        <v/>
      </c>
      <c r="E89" s="56" t="str">
        <f t="shared" si="3"/>
        <v/>
      </c>
    </row>
    <row r="90">
      <c r="A90" s="55"/>
      <c r="B90" s="40"/>
      <c r="C90" s="40" t="str">
        <f t="shared" si="1"/>
        <v/>
      </c>
      <c r="D90" s="40" t="str">
        <f t="shared" si="2"/>
        <v/>
      </c>
      <c r="E90" s="56" t="str">
        <f t="shared" si="3"/>
        <v/>
      </c>
    </row>
    <row r="91">
      <c r="A91" s="55"/>
      <c r="B91" s="40"/>
      <c r="C91" s="40" t="str">
        <f t="shared" si="1"/>
        <v/>
      </c>
      <c r="D91" s="40" t="str">
        <f t="shared" si="2"/>
        <v/>
      </c>
      <c r="E91" s="56" t="str">
        <f t="shared" si="3"/>
        <v/>
      </c>
    </row>
    <row r="92">
      <c r="A92" s="55"/>
      <c r="B92" s="40"/>
      <c r="C92" s="40" t="str">
        <f t="shared" si="1"/>
        <v/>
      </c>
      <c r="D92" s="40" t="str">
        <f t="shared" si="2"/>
        <v/>
      </c>
      <c r="E92" s="56" t="str">
        <f t="shared" si="3"/>
        <v/>
      </c>
    </row>
    <row r="93">
      <c r="A93" s="55"/>
      <c r="B93" s="40"/>
      <c r="C93" s="40" t="str">
        <f t="shared" si="1"/>
        <v/>
      </c>
      <c r="D93" s="40" t="str">
        <f t="shared" si="2"/>
        <v/>
      </c>
      <c r="E93" s="56" t="str">
        <f t="shared" si="3"/>
        <v/>
      </c>
    </row>
    <row r="94">
      <c r="A94" s="55"/>
      <c r="B94" s="40"/>
      <c r="C94" s="40" t="str">
        <f t="shared" si="1"/>
        <v/>
      </c>
      <c r="D94" s="40" t="str">
        <f t="shared" si="2"/>
        <v/>
      </c>
      <c r="E94" s="56" t="str">
        <f t="shared" si="3"/>
        <v/>
      </c>
    </row>
    <row r="95">
      <c r="A95" s="55"/>
      <c r="B95" s="40"/>
      <c r="C95" s="40" t="str">
        <f t="shared" si="1"/>
        <v/>
      </c>
      <c r="D95" s="40" t="str">
        <f t="shared" si="2"/>
        <v/>
      </c>
      <c r="E95" s="56" t="str">
        <f t="shared" si="3"/>
        <v/>
      </c>
    </row>
    <row r="96">
      <c r="A96" s="55"/>
      <c r="B96" s="40"/>
      <c r="C96" s="40" t="str">
        <f t="shared" si="1"/>
        <v/>
      </c>
      <c r="D96" s="40" t="str">
        <f t="shared" si="2"/>
        <v/>
      </c>
      <c r="E96" s="56" t="str">
        <f t="shared" si="3"/>
        <v/>
      </c>
    </row>
    <row r="97">
      <c r="A97" s="55"/>
      <c r="B97" s="40"/>
      <c r="C97" s="40" t="str">
        <f t="shared" si="1"/>
        <v/>
      </c>
      <c r="D97" s="40" t="str">
        <f t="shared" si="2"/>
        <v/>
      </c>
      <c r="E97" s="56" t="str">
        <f t="shared" si="3"/>
        <v/>
      </c>
    </row>
    <row r="98">
      <c r="A98" s="55"/>
      <c r="B98" s="40"/>
      <c r="C98" s="40" t="str">
        <f t="shared" si="1"/>
        <v/>
      </c>
      <c r="D98" s="40" t="str">
        <f t="shared" si="2"/>
        <v/>
      </c>
      <c r="E98" s="56" t="str">
        <f t="shared" si="3"/>
        <v/>
      </c>
    </row>
    <row r="99">
      <c r="A99" s="55"/>
      <c r="B99" s="40"/>
      <c r="C99" s="40" t="str">
        <f t="shared" si="1"/>
        <v/>
      </c>
      <c r="D99" s="40" t="str">
        <f t="shared" si="2"/>
        <v/>
      </c>
      <c r="E99" s="56" t="str">
        <f t="shared" si="3"/>
        <v/>
      </c>
    </row>
    <row r="100">
      <c r="A100" s="55"/>
      <c r="B100" s="40"/>
      <c r="C100" s="40" t="str">
        <f t="shared" si="1"/>
        <v/>
      </c>
      <c r="D100" s="40" t="str">
        <f t="shared" si="2"/>
        <v/>
      </c>
      <c r="E100" s="56" t="str">
        <f t="shared" si="3"/>
        <v/>
      </c>
    </row>
    <row r="101">
      <c r="A101" s="55"/>
      <c r="B101" s="40"/>
      <c r="C101" s="40" t="str">
        <f t="shared" si="1"/>
        <v/>
      </c>
      <c r="D101" s="40" t="str">
        <f t="shared" si="2"/>
        <v/>
      </c>
      <c r="E101" s="56" t="str">
        <f t="shared" si="3"/>
        <v/>
      </c>
    </row>
    <row r="102">
      <c r="A102" s="55"/>
      <c r="B102" s="40"/>
      <c r="C102" s="40" t="str">
        <f t="shared" si="1"/>
        <v/>
      </c>
      <c r="D102" s="40" t="str">
        <f t="shared" si="2"/>
        <v/>
      </c>
      <c r="E102" s="56" t="str">
        <f t="shared" si="3"/>
        <v/>
      </c>
    </row>
    <row r="103">
      <c r="A103" s="55"/>
      <c r="B103" s="40"/>
      <c r="C103" s="40" t="str">
        <f t="shared" si="1"/>
        <v/>
      </c>
      <c r="D103" s="40" t="str">
        <f t="shared" si="2"/>
        <v/>
      </c>
      <c r="E103" s="56" t="str">
        <f t="shared" si="3"/>
        <v/>
      </c>
    </row>
    <row r="104">
      <c r="A104" s="55"/>
      <c r="B104" s="40"/>
      <c r="C104" s="40" t="str">
        <f t="shared" si="1"/>
        <v/>
      </c>
      <c r="D104" s="40" t="str">
        <f t="shared" si="2"/>
        <v/>
      </c>
      <c r="E104" s="56" t="str">
        <f t="shared" si="3"/>
        <v/>
      </c>
    </row>
    <row r="105">
      <c r="A105" s="55"/>
      <c r="B105" s="40"/>
      <c r="C105" s="40" t="str">
        <f t="shared" si="1"/>
        <v/>
      </c>
      <c r="D105" s="40" t="str">
        <f t="shared" si="2"/>
        <v/>
      </c>
      <c r="E105" s="56" t="str">
        <f t="shared" si="3"/>
        <v/>
      </c>
    </row>
    <row r="106">
      <c r="A106" s="55"/>
      <c r="B106" s="40"/>
      <c r="C106" s="40" t="str">
        <f t="shared" si="1"/>
        <v/>
      </c>
      <c r="D106" s="40" t="str">
        <f t="shared" si="2"/>
        <v/>
      </c>
      <c r="E106" s="56" t="str">
        <f t="shared" si="3"/>
        <v/>
      </c>
    </row>
    <row r="107">
      <c r="A107" s="55"/>
      <c r="B107" s="40"/>
      <c r="C107" s="40" t="str">
        <f t="shared" si="1"/>
        <v/>
      </c>
      <c r="D107" s="40" t="str">
        <f t="shared" si="2"/>
        <v/>
      </c>
      <c r="E107" s="56" t="str">
        <f t="shared" si="3"/>
        <v/>
      </c>
    </row>
    <row r="108">
      <c r="A108" s="55"/>
      <c r="B108" s="40"/>
      <c r="C108" s="40" t="str">
        <f t="shared" si="1"/>
        <v/>
      </c>
      <c r="D108" s="40" t="str">
        <f t="shared" si="2"/>
        <v/>
      </c>
      <c r="E108" s="56" t="str">
        <f t="shared" si="3"/>
        <v/>
      </c>
    </row>
    <row r="109">
      <c r="A109" s="55"/>
      <c r="B109" s="40"/>
      <c r="C109" s="40" t="str">
        <f t="shared" si="1"/>
        <v/>
      </c>
      <c r="D109" s="40" t="str">
        <f t="shared" si="2"/>
        <v/>
      </c>
      <c r="E109" s="56" t="str">
        <f t="shared" si="3"/>
        <v/>
      </c>
    </row>
    <row r="110">
      <c r="A110" s="55"/>
      <c r="B110" s="40"/>
      <c r="C110" s="40" t="str">
        <f t="shared" si="1"/>
        <v/>
      </c>
      <c r="D110" s="40" t="str">
        <f t="shared" si="2"/>
        <v/>
      </c>
      <c r="E110" s="56" t="str">
        <f t="shared" si="3"/>
        <v/>
      </c>
    </row>
    <row r="111">
      <c r="A111" s="55"/>
      <c r="B111" s="40"/>
      <c r="C111" s="40" t="str">
        <f t="shared" si="1"/>
        <v/>
      </c>
      <c r="D111" s="40" t="str">
        <f t="shared" si="2"/>
        <v/>
      </c>
      <c r="E111" s="56" t="str">
        <f t="shared" si="3"/>
        <v/>
      </c>
    </row>
    <row r="112">
      <c r="A112" s="55"/>
      <c r="B112" s="40"/>
      <c r="C112" s="40" t="str">
        <f t="shared" si="1"/>
        <v/>
      </c>
      <c r="D112" s="40" t="str">
        <f t="shared" si="2"/>
        <v/>
      </c>
      <c r="E112" s="56" t="str">
        <f t="shared" si="3"/>
        <v/>
      </c>
    </row>
    <row r="113">
      <c r="A113" s="55"/>
      <c r="B113" s="40"/>
      <c r="C113" s="40" t="str">
        <f t="shared" si="1"/>
        <v/>
      </c>
      <c r="D113" s="40" t="str">
        <f t="shared" si="2"/>
        <v/>
      </c>
      <c r="E113" s="56" t="str">
        <f t="shared" si="3"/>
        <v/>
      </c>
    </row>
    <row r="114">
      <c r="A114" s="55"/>
      <c r="B114" s="40"/>
      <c r="C114" s="40" t="str">
        <f t="shared" si="1"/>
        <v/>
      </c>
      <c r="D114" s="40" t="str">
        <f t="shared" si="2"/>
        <v/>
      </c>
      <c r="E114" s="56" t="str">
        <f t="shared" si="3"/>
        <v/>
      </c>
    </row>
    <row r="115">
      <c r="A115" s="55"/>
      <c r="B115" s="40"/>
      <c r="C115" s="40" t="str">
        <f t="shared" si="1"/>
        <v/>
      </c>
      <c r="D115" s="40" t="str">
        <f t="shared" si="2"/>
        <v/>
      </c>
      <c r="E115" s="56" t="str">
        <f t="shared" si="3"/>
        <v/>
      </c>
    </row>
    <row r="116">
      <c r="A116" s="55"/>
      <c r="B116" s="40"/>
      <c r="C116" s="40" t="str">
        <f t="shared" si="1"/>
        <v/>
      </c>
      <c r="D116" s="40" t="str">
        <f t="shared" si="2"/>
        <v/>
      </c>
      <c r="E116" s="56" t="str">
        <f t="shared" si="3"/>
        <v/>
      </c>
    </row>
    <row r="117">
      <c r="A117" s="55"/>
      <c r="B117" s="40"/>
      <c r="C117" s="40" t="str">
        <f t="shared" si="1"/>
        <v/>
      </c>
      <c r="D117" s="40" t="str">
        <f t="shared" si="2"/>
        <v/>
      </c>
      <c r="E117" s="56" t="str">
        <f t="shared" si="3"/>
        <v/>
      </c>
    </row>
    <row r="118">
      <c r="A118" s="55"/>
      <c r="B118" s="40"/>
      <c r="C118" s="40" t="str">
        <f t="shared" si="1"/>
        <v/>
      </c>
      <c r="D118" s="40" t="str">
        <f t="shared" si="2"/>
        <v/>
      </c>
      <c r="E118" s="56" t="str">
        <f t="shared" si="3"/>
        <v/>
      </c>
    </row>
    <row r="119">
      <c r="A119" s="55"/>
      <c r="B119" s="40"/>
      <c r="C119" s="40" t="str">
        <f t="shared" si="1"/>
        <v/>
      </c>
      <c r="D119" s="40" t="str">
        <f t="shared" si="2"/>
        <v/>
      </c>
      <c r="E119" s="56" t="str">
        <f t="shared" si="3"/>
        <v/>
      </c>
    </row>
    <row r="120">
      <c r="A120" s="55"/>
      <c r="B120" s="40"/>
      <c r="C120" s="40" t="str">
        <f t="shared" si="1"/>
        <v/>
      </c>
      <c r="D120" s="40" t="str">
        <f t="shared" si="2"/>
        <v/>
      </c>
      <c r="E120" s="56" t="str">
        <f t="shared" si="3"/>
        <v/>
      </c>
    </row>
    <row r="121">
      <c r="A121" s="55"/>
      <c r="B121" s="40"/>
      <c r="C121" s="40" t="str">
        <f t="shared" si="1"/>
        <v/>
      </c>
      <c r="D121" s="40" t="str">
        <f t="shared" si="2"/>
        <v/>
      </c>
      <c r="E121" s="56" t="str">
        <f t="shared" si="3"/>
        <v/>
      </c>
    </row>
    <row r="122">
      <c r="A122" s="55"/>
      <c r="B122" s="40"/>
      <c r="C122" s="40" t="str">
        <f t="shared" si="1"/>
        <v/>
      </c>
      <c r="D122" s="40" t="str">
        <f t="shared" si="2"/>
        <v/>
      </c>
      <c r="E122" s="56" t="str">
        <f t="shared" si="3"/>
        <v/>
      </c>
    </row>
    <row r="123">
      <c r="A123" s="55"/>
      <c r="B123" s="40"/>
      <c r="C123" s="40" t="str">
        <f t="shared" si="1"/>
        <v/>
      </c>
      <c r="D123" s="40" t="str">
        <f t="shared" si="2"/>
        <v/>
      </c>
      <c r="E123" s="56" t="str">
        <f t="shared" si="3"/>
        <v/>
      </c>
    </row>
    <row r="124">
      <c r="A124" s="55"/>
      <c r="B124" s="40"/>
      <c r="C124" s="40" t="str">
        <f t="shared" si="1"/>
        <v/>
      </c>
      <c r="D124" s="40" t="str">
        <f t="shared" si="2"/>
        <v/>
      </c>
      <c r="E124" s="56" t="str">
        <f t="shared" si="3"/>
        <v/>
      </c>
    </row>
    <row r="125">
      <c r="A125" s="55"/>
      <c r="B125" s="40"/>
      <c r="C125" s="40" t="str">
        <f t="shared" si="1"/>
        <v/>
      </c>
      <c r="D125" s="40" t="str">
        <f t="shared" si="2"/>
        <v/>
      </c>
      <c r="E125" s="56" t="str">
        <f t="shared" si="3"/>
        <v/>
      </c>
    </row>
    <row r="126">
      <c r="A126" s="55"/>
      <c r="B126" s="40"/>
      <c r="C126" s="40" t="str">
        <f t="shared" si="1"/>
        <v/>
      </c>
      <c r="D126" s="40" t="str">
        <f t="shared" si="2"/>
        <v/>
      </c>
      <c r="E126" s="56" t="str">
        <f t="shared" si="3"/>
        <v/>
      </c>
    </row>
    <row r="127">
      <c r="A127" s="55"/>
      <c r="B127" s="40"/>
      <c r="C127" s="40" t="str">
        <f t="shared" si="1"/>
        <v/>
      </c>
      <c r="D127" s="40" t="str">
        <f t="shared" si="2"/>
        <v/>
      </c>
      <c r="E127" s="56" t="str">
        <f t="shared" si="3"/>
        <v/>
      </c>
    </row>
    <row r="128">
      <c r="A128" s="55"/>
      <c r="B128" s="40"/>
      <c r="C128" s="40" t="str">
        <f t="shared" si="1"/>
        <v/>
      </c>
      <c r="D128" s="40" t="str">
        <f t="shared" si="2"/>
        <v/>
      </c>
      <c r="E128" s="56" t="str">
        <f t="shared" si="3"/>
        <v/>
      </c>
    </row>
    <row r="129">
      <c r="A129" s="55"/>
      <c r="B129" s="40"/>
      <c r="C129" s="40" t="str">
        <f t="shared" si="1"/>
        <v/>
      </c>
      <c r="D129" s="40" t="str">
        <f t="shared" si="2"/>
        <v/>
      </c>
      <c r="E129" s="56" t="str">
        <f t="shared" si="3"/>
        <v/>
      </c>
    </row>
    <row r="130">
      <c r="A130" s="55"/>
      <c r="B130" s="40"/>
      <c r="C130" s="40" t="str">
        <f t="shared" si="1"/>
        <v/>
      </c>
      <c r="D130" s="40" t="str">
        <f t="shared" si="2"/>
        <v/>
      </c>
      <c r="E130" s="56" t="str">
        <f t="shared" si="3"/>
        <v/>
      </c>
    </row>
    <row r="131">
      <c r="A131" s="55"/>
      <c r="B131" s="40"/>
      <c r="C131" s="40" t="str">
        <f t="shared" si="1"/>
        <v/>
      </c>
      <c r="D131" s="40" t="str">
        <f t="shared" si="2"/>
        <v/>
      </c>
      <c r="E131" s="56" t="str">
        <f t="shared" si="3"/>
        <v/>
      </c>
    </row>
    <row r="132">
      <c r="A132" s="55"/>
      <c r="B132" s="40"/>
      <c r="C132" s="40" t="str">
        <f t="shared" si="1"/>
        <v/>
      </c>
      <c r="D132" s="40" t="str">
        <f t="shared" si="2"/>
        <v/>
      </c>
      <c r="E132" s="56" t="str">
        <f t="shared" si="3"/>
        <v/>
      </c>
    </row>
    <row r="133">
      <c r="A133" s="55"/>
      <c r="B133" s="40"/>
      <c r="C133" s="40" t="str">
        <f t="shared" si="1"/>
        <v/>
      </c>
      <c r="D133" s="40" t="str">
        <f t="shared" si="2"/>
        <v/>
      </c>
      <c r="E133" s="56" t="str">
        <f t="shared" si="3"/>
        <v/>
      </c>
    </row>
    <row r="134">
      <c r="A134" s="55"/>
      <c r="B134" s="40"/>
      <c r="C134" s="40" t="str">
        <f t="shared" si="1"/>
        <v/>
      </c>
      <c r="D134" s="40" t="str">
        <f t="shared" si="2"/>
        <v/>
      </c>
      <c r="E134" s="56" t="str">
        <f t="shared" si="3"/>
        <v/>
      </c>
    </row>
    <row r="135">
      <c r="A135" s="55"/>
      <c r="B135" s="40"/>
      <c r="C135" s="40" t="str">
        <f t="shared" si="1"/>
        <v/>
      </c>
      <c r="D135" s="40" t="str">
        <f t="shared" si="2"/>
        <v/>
      </c>
      <c r="E135" s="56" t="str">
        <f t="shared" si="3"/>
        <v/>
      </c>
    </row>
    <row r="136">
      <c r="A136" s="55"/>
      <c r="B136" s="40"/>
      <c r="C136" s="40" t="str">
        <f t="shared" si="1"/>
        <v/>
      </c>
      <c r="D136" s="40" t="str">
        <f t="shared" si="2"/>
        <v/>
      </c>
      <c r="E136" s="56" t="str">
        <f t="shared" si="3"/>
        <v/>
      </c>
    </row>
    <row r="137">
      <c r="A137" s="55"/>
      <c r="B137" s="40"/>
      <c r="C137" s="40" t="str">
        <f t="shared" si="1"/>
        <v/>
      </c>
      <c r="D137" s="40" t="str">
        <f t="shared" si="2"/>
        <v/>
      </c>
      <c r="E137" s="56" t="str">
        <f t="shared" si="3"/>
        <v/>
      </c>
    </row>
    <row r="138">
      <c r="A138" s="55"/>
      <c r="B138" s="40"/>
      <c r="C138" s="40" t="str">
        <f t="shared" si="1"/>
        <v/>
      </c>
      <c r="D138" s="40" t="str">
        <f t="shared" si="2"/>
        <v/>
      </c>
      <c r="E138" s="56" t="str">
        <f t="shared" si="3"/>
        <v/>
      </c>
    </row>
    <row r="139">
      <c r="A139" s="55"/>
      <c r="B139" s="40"/>
      <c r="C139" s="40" t="str">
        <f t="shared" si="1"/>
        <v/>
      </c>
      <c r="D139" s="40" t="str">
        <f t="shared" si="2"/>
        <v/>
      </c>
      <c r="E139" s="56" t="str">
        <f t="shared" si="3"/>
        <v/>
      </c>
    </row>
    <row r="140">
      <c r="A140" s="55"/>
      <c r="B140" s="40"/>
      <c r="C140" s="40" t="str">
        <f t="shared" si="1"/>
        <v/>
      </c>
      <c r="D140" s="40" t="str">
        <f t="shared" si="2"/>
        <v/>
      </c>
      <c r="E140" s="56" t="str">
        <f t="shared" si="3"/>
        <v/>
      </c>
    </row>
    <row r="141">
      <c r="A141" s="55"/>
      <c r="B141" s="40"/>
      <c r="C141" s="40" t="str">
        <f t="shared" si="1"/>
        <v/>
      </c>
      <c r="D141" s="40" t="str">
        <f t="shared" si="2"/>
        <v/>
      </c>
      <c r="E141" s="56" t="str">
        <f t="shared" si="3"/>
        <v/>
      </c>
    </row>
    <row r="142">
      <c r="A142" s="55"/>
      <c r="B142" s="40"/>
      <c r="C142" s="40" t="str">
        <f t="shared" si="1"/>
        <v/>
      </c>
      <c r="D142" s="40" t="str">
        <f t="shared" si="2"/>
        <v/>
      </c>
      <c r="E142" s="56" t="str">
        <f t="shared" si="3"/>
        <v/>
      </c>
    </row>
    <row r="143">
      <c r="A143" s="55"/>
      <c r="B143" s="40"/>
      <c r="C143" s="40" t="str">
        <f t="shared" si="1"/>
        <v/>
      </c>
      <c r="D143" s="40" t="str">
        <f t="shared" si="2"/>
        <v/>
      </c>
      <c r="E143" s="56" t="str">
        <f t="shared" si="3"/>
        <v/>
      </c>
    </row>
    <row r="144">
      <c r="A144" s="55"/>
      <c r="B144" s="40"/>
      <c r="C144" s="40" t="str">
        <f t="shared" si="1"/>
        <v/>
      </c>
      <c r="D144" s="40" t="str">
        <f t="shared" si="2"/>
        <v/>
      </c>
      <c r="E144" s="56" t="str">
        <f t="shared" si="3"/>
        <v/>
      </c>
    </row>
    <row r="145">
      <c r="A145" s="55"/>
      <c r="B145" s="40"/>
      <c r="C145" s="40" t="str">
        <f t="shared" si="1"/>
        <v/>
      </c>
      <c r="D145" s="40" t="str">
        <f t="shared" si="2"/>
        <v/>
      </c>
      <c r="E145" s="56" t="str">
        <f t="shared" si="3"/>
        <v/>
      </c>
    </row>
    <row r="146">
      <c r="A146" s="55"/>
      <c r="B146" s="40"/>
      <c r="C146" s="40" t="str">
        <f t="shared" si="1"/>
        <v/>
      </c>
      <c r="D146" s="40" t="str">
        <f t="shared" si="2"/>
        <v/>
      </c>
      <c r="E146" s="56" t="str">
        <f t="shared" si="3"/>
        <v/>
      </c>
    </row>
    <row r="147">
      <c r="A147" s="55"/>
      <c r="B147" s="40"/>
      <c r="C147" s="40" t="str">
        <f t="shared" si="1"/>
        <v/>
      </c>
      <c r="D147" s="40" t="str">
        <f t="shared" si="2"/>
        <v/>
      </c>
      <c r="E147" s="56" t="str">
        <f t="shared" si="3"/>
        <v/>
      </c>
    </row>
    <row r="148">
      <c r="A148" s="55"/>
      <c r="C148" s="40" t="str">
        <f t="shared" si="1"/>
        <v/>
      </c>
      <c r="D148" s="40" t="str">
        <f t="shared" si="2"/>
        <v/>
      </c>
      <c r="E148" s="56" t="str">
        <f t="shared" si="3"/>
        <v/>
      </c>
    </row>
    <row r="149">
      <c r="A149" s="55"/>
      <c r="C149" s="40" t="str">
        <f t="shared" si="1"/>
        <v/>
      </c>
      <c r="D149" s="40" t="str">
        <f t="shared" si="2"/>
        <v/>
      </c>
      <c r="E149" s="56" t="str">
        <f t="shared" si="3"/>
        <v/>
      </c>
    </row>
    <row r="150">
      <c r="A150" s="55"/>
      <c r="C150" s="40" t="str">
        <f t="shared" si="1"/>
        <v/>
      </c>
      <c r="D150" s="40" t="str">
        <f t="shared" si="2"/>
        <v/>
      </c>
      <c r="E150" s="56" t="str">
        <f t="shared" si="3"/>
        <v/>
      </c>
    </row>
    <row r="151">
      <c r="A151" s="55"/>
      <c r="C151" s="40" t="str">
        <f t="shared" si="1"/>
        <v/>
      </c>
      <c r="D151" s="40" t="str">
        <f t="shared" si="2"/>
        <v/>
      </c>
      <c r="E151" s="56" t="str">
        <f t="shared" si="3"/>
        <v/>
      </c>
    </row>
    <row r="152">
      <c r="A152" s="55"/>
      <c r="C152" s="40" t="str">
        <f t="shared" si="1"/>
        <v/>
      </c>
      <c r="D152" s="40" t="str">
        <f t="shared" si="2"/>
        <v/>
      </c>
      <c r="E152" s="56" t="str">
        <f t="shared" si="3"/>
        <v/>
      </c>
    </row>
    <row r="153">
      <c r="A153" s="55"/>
      <c r="C153" s="40" t="str">
        <f t="shared" si="1"/>
        <v/>
      </c>
      <c r="D153" s="40" t="str">
        <f t="shared" si="2"/>
        <v/>
      </c>
      <c r="E153" s="56" t="str">
        <f t="shared" si="3"/>
        <v/>
      </c>
    </row>
    <row r="154">
      <c r="A154" s="55"/>
      <c r="C154" s="40" t="str">
        <f t="shared" si="1"/>
        <v/>
      </c>
      <c r="D154" s="40" t="str">
        <f t="shared" si="2"/>
        <v/>
      </c>
      <c r="E154" s="56" t="str">
        <f t="shared" si="3"/>
        <v/>
      </c>
    </row>
    <row r="155">
      <c r="A155" s="55"/>
      <c r="C155" s="40" t="str">
        <f t="shared" si="1"/>
        <v/>
      </c>
      <c r="D155" s="40" t="str">
        <f t="shared" si="2"/>
        <v/>
      </c>
      <c r="E155" s="56" t="str">
        <f t="shared" si="3"/>
        <v/>
      </c>
    </row>
    <row r="156">
      <c r="A156" s="55"/>
      <c r="C156" s="40" t="str">
        <f t="shared" si="1"/>
        <v/>
      </c>
      <c r="D156" s="40" t="str">
        <f t="shared" si="2"/>
        <v/>
      </c>
      <c r="E156" s="56" t="str">
        <f t="shared" si="3"/>
        <v/>
      </c>
    </row>
    <row r="157">
      <c r="A157" s="55"/>
      <c r="C157" s="40" t="str">
        <f t="shared" si="1"/>
        <v/>
      </c>
      <c r="D157" s="40" t="str">
        <f t="shared" si="2"/>
        <v/>
      </c>
      <c r="E157" s="56" t="str">
        <f t="shared" si="3"/>
        <v/>
      </c>
    </row>
    <row r="158">
      <c r="A158" s="55"/>
      <c r="C158" s="40" t="str">
        <f t="shared" si="1"/>
        <v/>
      </c>
      <c r="D158" s="40" t="str">
        <f t="shared" si="2"/>
        <v/>
      </c>
      <c r="E158" s="56" t="str">
        <f t="shared" si="3"/>
        <v/>
      </c>
    </row>
    <row r="159">
      <c r="A159" s="55"/>
      <c r="C159" s="40" t="str">
        <f t="shared" si="1"/>
        <v/>
      </c>
      <c r="D159" s="40" t="str">
        <f t="shared" si="2"/>
        <v/>
      </c>
      <c r="E159" s="56" t="str">
        <f t="shared" si="3"/>
        <v/>
      </c>
    </row>
    <row r="160">
      <c r="A160" s="55"/>
      <c r="C160" s="40" t="str">
        <f t="shared" si="1"/>
        <v/>
      </c>
      <c r="D160" s="40" t="str">
        <f t="shared" si="2"/>
        <v/>
      </c>
      <c r="E160" s="56" t="str">
        <f t="shared" si="3"/>
        <v/>
      </c>
    </row>
    <row r="161">
      <c r="A161" s="55"/>
      <c r="C161" s="40" t="str">
        <f t="shared" si="1"/>
        <v/>
      </c>
      <c r="D161" s="40" t="str">
        <f t="shared" si="2"/>
        <v/>
      </c>
      <c r="E161" s="56" t="str">
        <f t="shared" si="3"/>
        <v/>
      </c>
    </row>
    <row r="162">
      <c r="A162" s="55"/>
      <c r="C162" s="40" t="str">
        <f t="shared" si="1"/>
        <v/>
      </c>
      <c r="D162" s="40" t="str">
        <f t="shared" si="2"/>
        <v/>
      </c>
      <c r="E162" s="56" t="str">
        <f t="shared" si="3"/>
        <v/>
      </c>
    </row>
    <row r="163">
      <c r="A163" s="55"/>
      <c r="C163" s="40" t="str">
        <f t="shared" si="1"/>
        <v/>
      </c>
      <c r="D163" s="40" t="str">
        <f t="shared" si="2"/>
        <v/>
      </c>
      <c r="E163" s="56" t="str">
        <f t="shared" si="3"/>
        <v/>
      </c>
    </row>
    <row r="164">
      <c r="A164" s="55"/>
      <c r="C164" s="40" t="str">
        <f t="shared" si="1"/>
        <v/>
      </c>
      <c r="D164" s="40" t="str">
        <f t="shared" si="2"/>
        <v/>
      </c>
      <c r="E164" s="56" t="str">
        <f t="shared" si="3"/>
        <v/>
      </c>
    </row>
    <row r="165">
      <c r="A165" s="55"/>
      <c r="C165" s="40" t="str">
        <f t="shared" si="1"/>
        <v/>
      </c>
      <c r="D165" s="40" t="str">
        <f t="shared" si="2"/>
        <v/>
      </c>
      <c r="E165" s="56" t="str">
        <f t="shared" si="3"/>
        <v/>
      </c>
    </row>
    <row r="166">
      <c r="A166" s="55"/>
      <c r="C166" s="40" t="str">
        <f t="shared" si="1"/>
        <v/>
      </c>
      <c r="D166" s="40" t="str">
        <f t="shared" si="2"/>
        <v/>
      </c>
      <c r="E166" s="56" t="str">
        <f t="shared" si="3"/>
        <v/>
      </c>
    </row>
    <row r="167">
      <c r="A167" s="55"/>
      <c r="C167" s="40" t="str">
        <f t="shared" si="1"/>
        <v/>
      </c>
      <c r="D167" s="40" t="str">
        <f t="shared" si="2"/>
        <v/>
      </c>
      <c r="E167" s="56" t="str">
        <f t="shared" si="3"/>
        <v/>
      </c>
    </row>
    <row r="168">
      <c r="A168" s="55"/>
      <c r="C168" s="40" t="str">
        <f t="shared" si="1"/>
        <v/>
      </c>
      <c r="D168" s="40" t="str">
        <f t="shared" si="2"/>
        <v/>
      </c>
      <c r="E168" s="56" t="str">
        <f t="shared" si="3"/>
        <v/>
      </c>
    </row>
    <row r="169">
      <c r="A169" s="55"/>
      <c r="C169" s="40" t="str">
        <f t="shared" si="1"/>
        <v/>
      </c>
      <c r="D169" s="40" t="str">
        <f t="shared" si="2"/>
        <v/>
      </c>
      <c r="E169" s="56" t="str">
        <f t="shared" si="3"/>
        <v/>
      </c>
    </row>
    <row r="170">
      <c r="A170" s="55"/>
      <c r="C170" s="40" t="str">
        <f t="shared" si="1"/>
        <v/>
      </c>
      <c r="D170" s="40" t="str">
        <f t="shared" si="2"/>
        <v/>
      </c>
      <c r="E170" s="56" t="str">
        <f t="shared" si="3"/>
        <v/>
      </c>
    </row>
    <row r="171">
      <c r="A171" s="55"/>
      <c r="C171" s="40" t="str">
        <f t="shared" si="1"/>
        <v/>
      </c>
      <c r="D171" s="40" t="str">
        <f t="shared" si="2"/>
        <v/>
      </c>
      <c r="E171" s="56" t="str">
        <f t="shared" ref="E171:E231" si="4">IF(A171 &lt;&gt; "", (D169+D170+D171)/3,"")</f>
        <v/>
      </c>
    </row>
    <row r="172">
      <c r="A172" s="55"/>
      <c r="C172" s="40" t="str">
        <f t="shared" si="1"/>
        <v/>
      </c>
      <c r="D172" s="40" t="str">
        <f t="shared" si="2"/>
        <v/>
      </c>
      <c r="E172" s="56" t="str">
        <f t="shared" si="4"/>
        <v/>
      </c>
    </row>
    <row r="173">
      <c r="A173" s="55"/>
      <c r="C173" s="40" t="str">
        <f t="shared" si="1"/>
        <v/>
      </c>
      <c r="D173" s="40" t="str">
        <f t="shared" si="2"/>
        <v/>
      </c>
      <c r="E173" s="56" t="str">
        <f t="shared" si="4"/>
        <v/>
      </c>
    </row>
    <row r="174">
      <c r="A174" s="55"/>
      <c r="C174" s="40" t="str">
        <f t="shared" si="1"/>
        <v/>
      </c>
      <c r="D174" s="40" t="str">
        <f t="shared" si="2"/>
        <v/>
      </c>
      <c r="E174" s="56" t="str">
        <f t="shared" si="4"/>
        <v/>
      </c>
    </row>
    <row r="175">
      <c r="A175" s="55"/>
      <c r="C175" s="40" t="str">
        <f t="shared" si="1"/>
        <v/>
      </c>
      <c r="D175" s="40" t="str">
        <f t="shared" si="2"/>
        <v/>
      </c>
      <c r="E175" s="56" t="str">
        <f t="shared" si="4"/>
        <v/>
      </c>
    </row>
    <row r="176">
      <c r="A176" s="55"/>
      <c r="C176" s="40" t="str">
        <f t="shared" si="1"/>
        <v/>
      </c>
      <c r="D176" s="40" t="str">
        <f t="shared" si="2"/>
        <v/>
      </c>
      <c r="E176" s="56" t="str">
        <f t="shared" si="4"/>
        <v/>
      </c>
    </row>
    <row r="177">
      <c r="A177" s="55"/>
      <c r="C177" s="40" t="str">
        <f t="shared" si="1"/>
        <v/>
      </c>
      <c r="D177" s="40" t="str">
        <f t="shared" si="2"/>
        <v/>
      </c>
      <c r="E177" s="56" t="str">
        <f t="shared" si="4"/>
        <v/>
      </c>
    </row>
    <row r="178">
      <c r="A178" s="55"/>
      <c r="C178" s="40" t="str">
        <f t="shared" si="1"/>
        <v/>
      </c>
      <c r="D178" s="40" t="str">
        <f t="shared" si="2"/>
        <v/>
      </c>
      <c r="E178" s="56" t="str">
        <f t="shared" si="4"/>
        <v/>
      </c>
    </row>
    <row r="179">
      <c r="A179" s="55"/>
      <c r="C179" s="40" t="str">
        <f t="shared" si="1"/>
        <v/>
      </c>
      <c r="D179" s="40" t="str">
        <f t="shared" si="2"/>
        <v/>
      </c>
      <c r="E179" s="56" t="str">
        <f t="shared" si="4"/>
        <v/>
      </c>
    </row>
    <row r="180">
      <c r="A180" s="55"/>
      <c r="C180" s="40" t="str">
        <f t="shared" si="1"/>
        <v/>
      </c>
      <c r="D180" s="40" t="str">
        <f t="shared" si="2"/>
        <v/>
      </c>
      <c r="E180" s="56" t="str">
        <f t="shared" si="4"/>
        <v/>
      </c>
    </row>
    <row r="181">
      <c r="A181" s="55"/>
      <c r="C181" s="40" t="str">
        <f t="shared" si="1"/>
        <v/>
      </c>
      <c r="D181" s="40" t="str">
        <f t="shared" si="2"/>
        <v/>
      </c>
      <c r="E181" s="56" t="str">
        <f t="shared" si="4"/>
        <v/>
      </c>
    </row>
    <row r="182">
      <c r="A182" s="55"/>
      <c r="C182" s="40" t="str">
        <f t="shared" si="1"/>
        <v/>
      </c>
      <c r="D182" s="40" t="str">
        <f t="shared" si="2"/>
        <v/>
      </c>
      <c r="E182" s="56" t="str">
        <f t="shared" si="4"/>
        <v/>
      </c>
    </row>
    <row r="183">
      <c r="A183" s="55"/>
      <c r="C183" s="40" t="str">
        <f t="shared" si="1"/>
        <v/>
      </c>
      <c r="D183" s="40" t="str">
        <f t="shared" si="2"/>
        <v/>
      </c>
      <c r="E183" s="56" t="str">
        <f t="shared" si="4"/>
        <v/>
      </c>
    </row>
    <row r="184">
      <c r="A184" s="55"/>
      <c r="C184" s="40" t="str">
        <f t="shared" si="1"/>
        <v/>
      </c>
      <c r="D184" s="40" t="str">
        <f t="shared" si="2"/>
        <v/>
      </c>
      <c r="E184" s="56" t="str">
        <f t="shared" si="4"/>
        <v/>
      </c>
    </row>
    <row r="185">
      <c r="A185" s="55"/>
      <c r="C185" s="40" t="str">
        <f t="shared" si="1"/>
        <v/>
      </c>
      <c r="D185" s="40" t="str">
        <f t="shared" si="2"/>
        <v/>
      </c>
      <c r="E185" s="56" t="str">
        <f t="shared" si="4"/>
        <v/>
      </c>
    </row>
    <row r="186">
      <c r="A186" s="55"/>
      <c r="C186" s="40" t="str">
        <f t="shared" si="1"/>
        <v/>
      </c>
      <c r="D186" s="40" t="str">
        <f t="shared" si="2"/>
        <v/>
      </c>
      <c r="E186" s="56" t="str">
        <f t="shared" si="4"/>
        <v/>
      </c>
    </row>
    <row r="187">
      <c r="A187" s="55"/>
      <c r="C187" s="40" t="str">
        <f t="shared" si="1"/>
        <v/>
      </c>
      <c r="D187" s="40" t="str">
        <f t="shared" si="2"/>
        <v/>
      </c>
      <c r="E187" s="56" t="str">
        <f t="shared" si="4"/>
        <v/>
      </c>
    </row>
    <row r="188">
      <c r="A188" s="55"/>
      <c r="C188" s="40" t="str">
        <f t="shared" si="1"/>
        <v/>
      </c>
      <c r="D188" s="40" t="str">
        <f t="shared" si="2"/>
        <v/>
      </c>
      <c r="E188" s="56" t="str">
        <f t="shared" si="4"/>
        <v/>
      </c>
    </row>
    <row r="189">
      <c r="A189" s="55"/>
      <c r="C189" s="40" t="str">
        <f t="shared" si="1"/>
        <v/>
      </c>
      <c r="D189" s="40" t="str">
        <f t="shared" si="2"/>
        <v/>
      </c>
      <c r="E189" s="56" t="str">
        <f t="shared" si="4"/>
        <v/>
      </c>
    </row>
    <row r="190">
      <c r="A190" s="55"/>
      <c r="C190" s="40" t="str">
        <f t="shared" si="1"/>
        <v/>
      </c>
      <c r="D190" s="40" t="str">
        <f t="shared" si="2"/>
        <v/>
      </c>
      <c r="E190" s="56" t="str">
        <f t="shared" si="4"/>
        <v/>
      </c>
    </row>
    <row r="191">
      <c r="A191" s="55"/>
      <c r="C191" s="40" t="str">
        <f t="shared" si="1"/>
        <v/>
      </c>
      <c r="D191" s="40" t="str">
        <f t="shared" si="2"/>
        <v/>
      </c>
      <c r="E191" s="56" t="str">
        <f t="shared" si="4"/>
        <v/>
      </c>
    </row>
    <row r="192">
      <c r="A192" s="55"/>
      <c r="C192" s="40" t="str">
        <f t="shared" si="1"/>
        <v/>
      </c>
      <c r="D192" s="40" t="str">
        <f t="shared" si="2"/>
        <v/>
      </c>
      <c r="E192" s="56" t="str">
        <f t="shared" si="4"/>
        <v/>
      </c>
    </row>
    <row r="193">
      <c r="A193" s="55"/>
      <c r="C193" s="40" t="str">
        <f t="shared" si="1"/>
        <v/>
      </c>
      <c r="D193" s="40" t="str">
        <f t="shared" si="2"/>
        <v/>
      </c>
      <c r="E193" s="56" t="str">
        <f t="shared" si="4"/>
        <v/>
      </c>
    </row>
    <row r="194">
      <c r="A194" s="55"/>
      <c r="C194" s="40" t="str">
        <f t="shared" si="1"/>
        <v/>
      </c>
      <c r="D194" s="40" t="str">
        <f t="shared" si="2"/>
        <v/>
      </c>
      <c r="E194" s="56" t="str">
        <f t="shared" si="4"/>
        <v/>
      </c>
    </row>
    <row r="195">
      <c r="A195" s="55"/>
      <c r="C195" s="40" t="str">
        <f t="shared" si="1"/>
        <v/>
      </c>
      <c r="D195" s="40" t="str">
        <f t="shared" si="2"/>
        <v/>
      </c>
      <c r="E195" s="56" t="str">
        <f t="shared" si="4"/>
        <v/>
      </c>
    </row>
    <row r="196">
      <c r="A196" s="55"/>
      <c r="C196" s="40" t="str">
        <f t="shared" si="1"/>
        <v/>
      </c>
      <c r="D196" s="40" t="str">
        <f t="shared" si="2"/>
        <v/>
      </c>
      <c r="E196" s="56" t="str">
        <f t="shared" si="4"/>
        <v/>
      </c>
    </row>
    <row r="197">
      <c r="A197" s="55"/>
      <c r="C197" s="40" t="str">
        <f t="shared" si="1"/>
        <v/>
      </c>
      <c r="D197" s="40" t="str">
        <f t="shared" si="2"/>
        <v/>
      </c>
      <c r="E197" s="56" t="str">
        <f t="shared" si="4"/>
        <v/>
      </c>
    </row>
    <row r="198">
      <c r="A198" s="55"/>
      <c r="C198" s="40" t="str">
        <f t="shared" si="1"/>
        <v/>
      </c>
      <c r="D198" s="40" t="str">
        <f t="shared" si="2"/>
        <v/>
      </c>
      <c r="E198" s="56" t="str">
        <f t="shared" si="4"/>
        <v/>
      </c>
    </row>
    <row r="199">
      <c r="A199" s="55"/>
      <c r="C199" s="40" t="str">
        <f t="shared" si="1"/>
        <v/>
      </c>
      <c r="D199" s="40" t="str">
        <f t="shared" si="2"/>
        <v/>
      </c>
      <c r="E199" s="56" t="str">
        <f t="shared" si="4"/>
        <v/>
      </c>
    </row>
    <row r="200">
      <c r="A200" s="55"/>
      <c r="C200" s="40" t="str">
        <f t="shared" si="1"/>
        <v/>
      </c>
      <c r="D200" s="40" t="str">
        <f t="shared" si="2"/>
        <v/>
      </c>
      <c r="E200" s="56" t="str">
        <f t="shared" si="4"/>
        <v/>
      </c>
    </row>
    <row r="201">
      <c r="A201" s="55"/>
      <c r="C201" s="40" t="str">
        <f t="shared" si="1"/>
        <v/>
      </c>
      <c r="D201" s="40" t="str">
        <f t="shared" si="2"/>
        <v/>
      </c>
      <c r="E201" s="56" t="str">
        <f t="shared" si="4"/>
        <v/>
      </c>
    </row>
    <row r="202">
      <c r="A202" s="55"/>
      <c r="C202" s="40" t="str">
        <f t="shared" si="1"/>
        <v/>
      </c>
      <c r="D202" s="40" t="str">
        <f t="shared" si="2"/>
        <v/>
      </c>
      <c r="E202" s="56" t="str">
        <f t="shared" si="4"/>
        <v/>
      </c>
    </row>
    <row r="203">
      <c r="A203" s="55"/>
      <c r="C203" s="40" t="str">
        <f t="shared" si="1"/>
        <v/>
      </c>
      <c r="D203" s="40" t="str">
        <f t="shared" si="2"/>
        <v/>
      </c>
      <c r="E203" s="56" t="str">
        <f t="shared" si="4"/>
        <v/>
      </c>
    </row>
    <row r="204">
      <c r="A204" s="55"/>
      <c r="C204" s="40" t="str">
        <f t="shared" si="1"/>
        <v/>
      </c>
      <c r="D204" s="40" t="str">
        <f t="shared" si="2"/>
        <v/>
      </c>
      <c r="E204" s="56" t="str">
        <f t="shared" si="4"/>
        <v/>
      </c>
    </row>
    <row r="205">
      <c r="A205" s="55"/>
      <c r="C205" s="40" t="str">
        <f t="shared" si="1"/>
        <v/>
      </c>
      <c r="D205" s="40" t="str">
        <f t="shared" si="2"/>
        <v/>
      </c>
      <c r="E205" s="56" t="str">
        <f t="shared" si="4"/>
        <v/>
      </c>
    </row>
    <row r="206">
      <c r="A206" s="55"/>
      <c r="C206" s="40" t="str">
        <f t="shared" si="1"/>
        <v/>
      </c>
      <c r="D206" s="40" t="str">
        <f t="shared" si="2"/>
        <v/>
      </c>
      <c r="E206" s="56" t="str">
        <f t="shared" si="4"/>
        <v/>
      </c>
    </row>
    <row r="207">
      <c r="A207" s="55"/>
      <c r="C207" s="40" t="str">
        <f t="shared" si="1"/>
        <v/>
      </c>
      <c r="D207" s="40" t="str">
        <f t="shared" si="2"/>
        <v/>
      </c>
      <c r="E207" s="56" t="str">
        <f t="shared" si="4"/>
        <v/>
      </c>
    </row>
    <row r="208">
      <c r="A208" s="55"/>
      <c r="C208" s="40" t="str">
        <f t="shared" si="1"/>
        <v/>
      </c>
      <c r="D208" s="40" t="str">
        <f t="shared" si="2"/>
        <v/>
      </c>
      <c r="E208" s="56" t="str">
        <f t="shared" si="4"/>
        <v/>
      </c>
    </row>
    <row r="209">
      <c r="A209" s="55"/>
      <c r="C209" s="40" t="str">
        <f t="shared" si="1"/>
        <v/>
      </c>
      <c r="D209" s="40" t="str">
        <f t="shared" si="2"/>
        <v/>
      </c>
      <c r="E209" s="56" t="str">
        <f t="shared" si="4"/>
        <v/>
      </c>
    </row>
    <row r="210">
      <c r="A210" s="55"/>
      <c r="C210" s="40" t="str">
        <f t="shared" si="1"/>
        <v/>
      </c>
      <c r="D210" s="40" t="str">
        <f t="shared" si="2"/>
        <v/>
      </c>
      <c r="E210" s="56" t="str">
        <f t="shared" si="4"/>
        <v/>
      </c>
    </row>
    <row r="211">
      <c r="A211" s="55"/>
      <c r="C211" s="40" t="str">
        <f t="shared" si="1"/>
        <v/>
      </c>
      <c r="D211" s="40" t="str">
        <f t="shared" si="2"/>
        <v/>
      </c>
      <c r="E211" s="56" t="str">
        <f t="shared" si="4"/>
        <v/>
      </c>
    </row>
    <row r="212">
      <c r="A212" s="55"/>
      <c r="C212" s="40" t="str">
        <f t="shared" si="1"/>
        <v/>
      </c>
      <c r="D212" s="40" t="str">
        <f t="shared" si="2"/>
        <v/>
      </c>
      <c r="E212" s="56" t="str">
        <f t="shared" si="4"/>
        <v/>
      </c>
    </row>
    <row r="213">
      <c r="A213" s="55"/>
      <c r="C213" s="40" t="str">
        <f t="shared" si="1"/>
        <v/>
      </c>
      <c r="D213" s="40" t="str">
        <f t="shared" si="2"/>
        <v/>
      </c>
      <c r="E213" s="56" t="str">
        <f t="shared" si="4"/>
        <v/>
      </c>
    </row>
    <row r="214">
      <c r="A214" s="55"/>
      <c r="C214" s="40" t="str">
        <f t="shared" si="1"/>
        <v/>
      </c>
      <c r="D214" s="40" t="str">
        <f t="shared" si="2"/>
        <v/>
      </c>
      <c r="E214" s="56" t="str">
        <f t="shared" si="4"/>
        <v/>
      </c>
    </row>
    <row r="215">
      <c r="A215" s="55"/>
      <c r="C215" s="40" t="str">
        <f t="shared" si="1"/>
        <v/>
      </c>
      <c r="D215" s="40" t="str">
        <f t="shared" si="2"/>
        <v/>
      </c>
      <c r="E215" s="56" t="str">
        <f t="shared" si="4"/>
        <v/>
      </c>
    </row>
    <row r="216">
      <c r="A216" s="55"/>
      <c r="C216" s="40" t="str">
        <f t="shared" si="1"/>
        <v/>
      </c>
      <c r="D216" s="40" t="str">
        <f t="shared" si="2"/>
        <v/>
      </c>
      <c r="E216" s="56" t="str">
        <f t="shared" si="4"/>
        <v/>
      </c>
    </row>
    <row r="217">
      <c r="A217" s="55"/>
      <c r="C217" s="40" t="str">
        <f t="shared" si="1"/>
        <v/>
      </c>
      <c r="D217" s="40" t="str">
        <f t="shared" si="2"/>
        <v/>
      </c>
      <c r="E217" s="56" t="str">
        <f t="shared" si="4"/>
        <v/>
      </c>
    </row>
    <row r="218">
      <c r="A218" s="55"/>
      <c r="C218" s="40" t="str">
        <f t="shared" si="1"/>
        <v/>
      </c>
      <c r="D218" s="40" t="str">
        <f t="shared" si="2"/>
        <v/>
      </c>
      <c r="E218" s="56" t="str">
        <f t="shared" si="4"/>
        <v/>
      </c>
    </row>
    <row r="219">
      <c r="A219" s="55"/>
      <c r="C219" s="40" t="str">
        <f t="shared" si="1"/>
        <v/>
      </c>
      <c r="D219" s="40" t="str">
        <f t="shared" si="2"/>
        <v/>
      </c>
      <c r="E219" s="56" t="str">
        <f t="shared" si="4"/>
        <v/>
      </c>
    </row>
    <row r="220">
      <c r="A220" s="55"/>
      <c r="C220" s="40" t="str">
        <f t="shared" si="1"/>
        <v/>
      </c>
      <c r="D220" s="40" t="str">
        <f t="shared" si="2"/>
        <v/>
      </c>
      <c r="E220" s="56" t="str">
        <f t="shared" si="4"/>
        <v/>
      </c>
    </row>
    <row r="221">
      <c r="A221" s="55"/>
      <c r="C221" s="40" t="str">
        <f t="shared" si="1"/>
        <v/>
      </c>
      <c r="D221" s="40" t="str">
        <f t="shared" si="2"/>
        <v/>
      </c>
      <c r="E221" s="56" t="str">
        <f t="shared" si="4"/>
        <v/>
      </c>
    </row>
    <row r="222">
      <c r="A222" s="55"/>
      <c r="C222" s="40" t="str">
        <f t="shared" si="1"/>
        <v/>
      </c>
      <c r="D222" s="40" t="str">
        <f t="shared" si="2"/>
        <v/>
      </c>
      <c r="E222" s="56" t="str">
        <f t="shared" si="4"/>
        <v/>
      </c>
    </row>
    <row r="223">
      <c r="A223" s="55"/>
      <c r="C223" s="40" t="str">
        <f t="shared" si="1"/>
        <v/>
      </c>
      <c r="D223" s="40" t="str">
        <f t="shared" si="2"/>
        <v/>
      </c>
      <c r="E223" s="56" t="str">
        <f t="shared" si="4"/>
        <v/>
      </c>
    </row>
    <row r="224">
      <c r="A224" s="55"/>
      <c r="C224" s="40" t="str">
        <f t="shared" si="1"/>
        <v/>
      </c>
      <c r="D224" s="40" t="str">
        <f t="shared" si="2"/>
        <v/>
      </c>
      <c r="E224" s="56" t="str">
        <f t="shared" si="4"/>
        <v/>
      </c>
    </row>
    <row r="225">
      <c r="A225" s="55"/>
      <c r="C225" s="40" t="str">
        <f t="shared" si="1"/>
        <v/>
      </c>
      <c r="D225" s="40" t="str">
        <f t="shared" si="2"/>
        <v/>
      </c>
      <c r="E225" s="56" t="str">
        <f t="shared" si="4"/>
        <v/>
      </c>
    </row>
    <row r="226">
      <c r="A226" s="55"/>
      <c r="C226" s="40" t="str">
        <f t="shared" si="1"/>
        <v/>
      </c>
      <c r="D226" s="40" t="str">
        <f t="shared" si="2"/>
        <v/>
      </c>
      <c r="E226" s="56" t="str">
        <f t="shared" si="4"/>
        <v/>
      </c>
    </row>
    <row r="227">
      <c r="A227" s="55"/>
      <c r="C227" s="40" t="str">
        <f t="shared" si="1"/>
        <v/>
      </c>
      <c r="D227" s="40" t="str">
        <f t="shared" si="2"/>
        <v/>
      </c>
      <c r="E227" s="56" t="str">
        <f t="shared" si="4"/>
        <v/>
      </c>
    </row>
    <row r="228">
      <c r="A228" s="55"/>
      <c r="C228" s="40" t="str">
        <f t="shared" si="1"/>
        <v/>
      </c>
      <c r="D228" s="40" t="str">
        <f t="shared" si="2"/>
        <v/>
      </c>
      <c r="E228" s="56" t="str">
        <f t="shared" si="4"/>
        <v/>
      </c>
    </row>
    <row r="229">
      <c r="A229" s="55"/>
      <c r="C229" s="40" t="str">
        <f t="shared" si="1"/>
        <v/>
      </c>
      <c r="D229" s="40" t="str">
        <f t="shared" si="2"/>
        <v/>
      </c>
      <c r="E229" s="56" t="str">
        <f t="shared" si="4"/>
        <v/>
      </c>
    </row>
    <row r="230">
      <c r="A230" s="55"/>
      <c r="C230" s="40" t="str">
        <f t="shared" si="1"/>
        <v/>
      </c>
      <c r="D230" s="40" t="str">
        <f t="shared" si="2"/>
        <v/>
      </c>
      <c r="E230" s="56" t="str">
        <f t="shared" si="4"/>
        <v/>
      </c>
    </row>
    <row r="231">
      <c r="A231" s="55"/>
      <c r="C231" s="40" t="str">
        <f t="shared" si="1"/>
        <v/>
      </c>
      <c r="D231" s="40" t="str">
        <f t="shared" si="2"/>
        <v/>
      </c>
      <c r="E231" s="56" t="str">
        <f t="shared" si="4"/>
        <v/>
      </c>
    </row>
    <row r="232">
      <c r="A232" s="55"/>
      <c r="D232" s="40" t="str">
        <f t="shared" si="2"/>
        <v/>
      </c>
    </row>
    <row r="233">
      <c r="A233" s="55"/>
      <c r="D233" s="40" t="str">
        <f t="shared" si="2"/>
        <v/>
      </c>
    </row>
    <row r="234">
      <c r="A234" s="55"/>
      <c r="D234" s="40" t="str">
        <f t="shared" si="2"/>
        <v/>
      </c>
    </row>
    <row r="235">
      <c r="A235" s="55"/>
      <c r="D235" s="40" t="str">
        <f t="shared" si="2"/>
        <v/>
      </c>
    </row>
    <row r="236">
      <c r="A236" s="55"/>
      <c r="D236" s="40" t="str">
        <f t="shared" si="2"/>
        <v/>
      </c>
    </row>
    <row r="237">
      <c r="A237" s="55"/>
      <c r="D237" s="40" t="str">
        <f t="shared" si="2"/>
        <v/>
      </c>
    </row>
    <row r="238">
      <c r="A238" s="55"/>
      <c r="D238" s="40" t="str">
        <f t="shared" si="2"/>
        <v/>
      </c>
    </row>
    <row r="239">
      <c r="A239" s="55"/>
    </row>
    <row r="240">
      <c r="A240" s="55"/>
    </row>
    <row r="241">
      <c r="A241" s="55"/>
    </row>
    <row r="242">
      <c r="A242" s="55"/>
    </row>
    <row r="243">
      <c r="A243" s="55"/>
    </row>
    <row r="244">
      <c r="A244" s="55"/>
    </row>
    <row r="245">
      <c r="A245" s="55"/>
    </row>
    <row r="246">
      <c r="A246" s="55"/>
    </row>
    <row r="247">
      <c r="A247" s="55"/>
    </row>
    <row r="248">
      <c r="A248" s="55"/>
    </row>
    <row r="249">
      <c r="A249" s="55"/>
    </row>
    <row r="250">
      <c r="A250" s="55"/>
    </row>
    <row r="251">
      <c r="A251" s="55"/>
    </row>
    <row r="252">
      <c r="A252" s="55"/>
    </row>
    <row r="253">
      <c r="A253" s="55"/>
    </row>
    <row r="254">
      <c r="A254" s="55"/>
    </row>
    <row r="255">
      <c r="A255" s="55"/>
    </row>
    <row r="256">
      <c r="A256" s="55"/>
    </row>
    <row r="257">
      <c r="A257" s="55"/>
    </row>
    <row r="258">
      <c r="A258" s="55"/>
    </row>
    <row r="259">
      <c r="A259" s="55"/>
    </row>
    <row r="260">
      <c r="A260" s="55"/>
    </row>
    <row r="261">
      <c r="A261" s="55"/>
    </row>
    <row r="262">
      <c r="A262" s="55"/>
    </row>
    <row r="263">
      <c r="A263" s="55"/>
    </row>
    <row r="264">
      <c r="A264" s="55"/>
    </row>
    <row r="265">
      <c r="A265" s="55"/>
    </row>
    <row r="266">
      <c r="A266" s="55"/>
    </row>
    <row r="267">
      <c r="A267" s="55"/>
    </row>
    <row r="268">
      <c r="A268" s="55"/>
    </row>
    <row r="269">
      <c r="A269" s="55"/>
    </row>
    <row r="270">
      <c r="A270" s="55"/>
    </row>
    <row r="271">
      <c r="A271" s="55"/>
    </row>
    <row r="272">
      <c r="A272" s="55"/>
    </row>
    <row r="273">
      <c r="A273" s="55"/>
    </row>
    <row r="274">
      <c r="A274" s="55"/>
    </row>
    <row r="275">
      <c r="A275" s="55"/>
    </row>
    <row r="276">
      <c r="A276" s="55"/>
    </row>
    <row r="277">
      <c r="A277" s="55"/>
    </row>
    <row r="278">
      <c r="A278" s="55"/>
    </row>
    <row r="279">
      <c r="A279" s="55"/>
    </row>
    <row r="280">
      <c r="A280" s="55"/>
    </row>
    <row r="281">
      <c r="A281" s="55"/>
    </row>
    <row r="282">
      <c r="A282" s="55"/>
    </row>
    <row r="283">
      <c r="A283" s="55"/>
    </row>
    <row r="284">
      <c r="A284" s="55"/>
    </row>
    <row r="285">
      <c r="A285" s="55"/>
    </row>
    <row r="286">
      <c r="A286" s="55"/>
    </row>
    <row r="287">
      <c r="A287" s="55"/>
    </row>
    <row r="288">
      <c r="A288" s="55"/>
    </row>
    <row r="289">
      <c r="A289" s="55"/>
    </row>
    <row r="290">
      <c r="A290" s="55"/>
    </row>
    <row r="291">
      <c r="A291" s="55"/>
    </row>
    <row r="292">
      <c r="A292" s="55"/>
    </row>
    <row r="293">
      <c r="A293" s="55"/>
    </row>
    <row r="294">
      <c r="A294" s="55"/>
    </row>
    <row r="295">
      <c r="A295" s="55"/>
    </row>
    <row r="296">
      <c r="A296" s="55"/>
    </row>
    <row r="297">
      <c r="A297" s="55"/>
    </row>
    <row r="298">
      <c r="A298" s="55"/>
    </row>
    <row r="299">
      <c r="A299" s="55"/>
    </row>
    <row r="300">
      <c r="A300" s="55"/>
    </row>
    <row r="301">
      <c r="A301" s="55"/>
    </row>
    <row r="302">
      <c r="A302" s="55"/>
    </row>
    <row r="303">
      <c r="A303" s="55"/>
    </row>
    <row r="304">
      <c r="A304" s="55"/>
    </row>
    <row r="305">
      <c r="A305" s="55"/>
    </row>
    <row r="306">
      <c r="A306" s="55"/>
    </row>
    <row r="307">
      <c r="A307" s="55"/>
    </row>
    <row r="308">
      <c r="A308" s="55"/>
    </row>
    <row r="309">
      <c r="A309" s="55"/>
    </row>
    <row r="310">
      <c r="A310" s="55"/>
    </row>
    <row r="311">
      <c r="A311" s="55"/>
    </row>
    <row r="312">
      <c r="A312" s="55"/>
    </row>
    <row r="313">
      <c r="A313" s="55"/>
    </row>
    <row r="314">
      <c r="A314" s="55"/>
    </row>
    <row r="315">
      <c r="A315" s="55"/>
    </row>
    <row r="316">
      <c r="A316" s="55"/>
    </row>
    <row r="317">
      <c r="A317" s="55"/>
    </row>
    <row r="318">
      <c r="A318" s="55"/>
    </row>
    <row r="319">
      <c r="A319" s="55"/>
    </row>
    <row r="320">
      <c r="A320" s="55"/>
    </row>
    <row r="321">
      <c r="A321" s="55"/>
    </row>
    <row r="322">
      <c r="A322" s="55"/>
    </row>
    <row r="323">
      <c r="A323" s="55"/>
    </row>
    <row r="324">
      <c r="A324" s="55"/>
    </row>
    <row r="325">
      <c r="A325" s="55"/>
    </row>
    <row r="326">
      <c r="A326" s="55"/>
    </row>
    <row r="327">
      <c r="A327" s="55"/>
    </row>
    <row r="328">
      <c r="A328" s="55"/>
    </row>
    <row r="329">
      <c r="A329" s="55"/>
    </row>
    <row r="330">
      <c r="A330" s="55"/>
    </row>
    <row r="331">
      <c r="A331" s="55"/>
    </row>
    <row r="332">
      <c r="A332" s="55"/>
    </row>
    <row r="333">
      <c r="A333" s="55"/>
    </row>
    <row r="334">
      <c r="A334" s="55"/>
    </row>
    <row r="335">
      <c r="A335" s="55"/>
    </row>
    <row r="336">
      <c r="A336" s="55"/>
    </row>
    <row r="337">
      <c r="A337" s="55"/>
    </row>
    <row r="338">
      <c r="A338" s="55"/>
    </row>
    <row r="339">
      <c r="A339" s="55"/>
    </row>
    <row r="340">
      <c r="A340" s="55"/>
    </row>
    <row r="341">
      <c r="A341" s="55"/>
    </row>
    <row r="342">
      <c r="A342" s="55"/>
    </row>
    <row r="343">
      <c r="A343" s="55"/>
    </row>
    <row r="344">
      <c r="A344" s="55"/>
    </row>
    <row r="345">
      <c r="A345" s="55"/>
    </row>
    <row r="346">
      <c r="A346" s="55"/>
    </row>
    <row r="347">
      <c r="A347" s="55"/>
    </row>
    <row r="348">
      <c r="A348" s="55"/>
    </row>
    <row r="349">
      <c r="A349" s="55"/>
    </row>
    <row r="350">
      <c r="A350" s="55"/>
    </row>
    <row r="351">
      <c r="A351" s="55"/>
    </row>
    <row r="352">
      <c r="A352" s="55"/>
    </row>
    <row r="353">
      <c r="A353" s="55"/>
    </row>
    <row r="354">
      <c r="A354" s="55"/>
    </row>
    <row r="355">
      <c r="A355" s="55"/>
    </row>
    <row r="356">
      <c r="A356" s="55"/>
    </row>
    <row r="357">
      <c r="A357" s="55"/>
    </row>
    <row r="358">
      <c r="A358" s="55"/>
    </row>
    <row r="359">
      <c r="A359" s="55"/>
    </row>
    <row r="360">
      <c r="A360" s="55"/>
    </row>
    <row r="361">
      <c r="A361" s="55"/>
    </row>
    <row r="362">
      <c r="A362" s="55"/>
    </row>
    <row r="363">
      <c r="A363" s="55"/>
    </row>
    <row r="364">
      <c r="A364" s="55"/>
    </row>
    <row r="365">
      <c r="A365" s="55"/>
    </row>
    <row r="366">
      <c r="A366" s="55"/>
    </row>
    <row r="367">
      <c r="A367" s="55"/>
    </row>
    <row r="368">
      <c r="A368" s="55"/>
    </row>
    <row r="369">
      <c r="A369" s="55"/>
    </row>
    <row r="370">
      <c r="A370" s="55"/>
    </row>
    <row r="371">
      <c r="A371" s="55"/>
    </row>
  </sheetData>
  <conditionalFormatting sqref="A2:A371">
    <cfRule type="expression" dxfId="5" priority="1">
      <formula>AND(TRUNC(A2)&gt;=EDATE(TODAY(),-1)+1,TRUNC(A2)&lt;=TODAY())</formula>
    </cfRule>
  </conditionalFormatting>
  <conditionalFormatting sqref="B1:B1001">
    <cfRule type="colorScale" priority="2">
      <colorScale>
        <cfvo type="formula" val="82"/>
        <cfvo type="percentile" val="50"/>
        <cfvo type="formula" val="90.2"/>
        <color rgb="FF57BB8A"/>
        <color rgb="FFFFFFFF"/>
        <color rgb="FFE67C73"/>
      </colorScale>
    </cfRule>
  </conditionalFormatting>
  <dataValidations>
    <dataValidation type="custom" allowBlank="1" showDropDown="1" sqref="A1:A1001">
      <formula1>OR(NOT(ISERROR(DATEVALUE(A1))), AND(ISNUMBER(A1), LEFT(CELL("format", A1))="D"))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137</v>
      </c>
      <c r="B1" s="31" t="s">
        <v>138</v>
      </c>
      <c r="C1" s="31" t="s">
        <v>139</v>
      </c>
      <c r="D1" s="32" t="s">
        <v>140</v>
      </c>
      <c r="E1" s="32" t="s">
        <v>141</v>
      </c>
    </row>
    <row r="2">
      <c r="A2" s="70">
        <v>45158.0</v>
      </c>
      <c r="B2" s="56">
        <v>90.2</v>
      </c>
      <c r="C2" s="40">
        <f t="shared" ref="C2:C80" si="1">IF(A2 &lt;&gt; "",  DAYS360("8/20/2023",A2),"")</f>
        <v>0</v>
      </c>
      <c r="D2" s="56">
        <f t="shared" ref="D2:D80" si="2">IF(A2 &lt;&gt; "", B2-$B$2,"")</f>
        <v>0</v>
      </c>
      <c r="E2" s="56">
        <f t="shared" ref="E2:E80" si="3">IF(A2 &lt;&gt; "",30*D2/(C2+1),"")</f>
        <v>0</v>
      </c>
    </row>
    <row r="3">
      <c r="A3" s="70">
        <v>45159.0</v>
      </c>
      <c r="B3" s="56">
        <v>90.1</v>
      </c>
      <c r="C3" s="40">
        <f t="shared" si="1"/>
        <v>1</v>
      </c>
      <c r="D3" s="56">
        <f t="shared" si="2"/>
        <v>-0.1</v>
      </c>
      <c r="E3" s="56">
        <f t="shared" si="3"/>
        <v>-1.5</v>
      </c>
    </row>
    <row r="4">
      <c r="A4" s="70">
        <v>45160.0</v>
      </c>
      <c r="B4" s="56">
        <v>87.2</v>
      </c>
      <c r="C4" s="40">
        <f t="shared" si="1"/>
        <v>2</v>
      </c>
      <c r="D4" s="56">
        <f t="shared" si="2"/>
        <v>-3</v>
      </c>
      <c r="E4" s="56">
        <f t="shared" si="3"/>
        <v>-30</v>
      </c>
    </row>
    <row r="5">
      <c r="A5" s="70">
        <v>45167.0</v>
      </c>
      <c r="B5" s="56">
        <v>86.2</v>
      </c>
      <c r="C5" s="40">
        <f t="shared" si="1"/>
        <v>9</v>
      </c>
      <c r="D5" s="56">
        <f t="shared" si="2"/>
        <v>-4</v>
      </c>
      <c r="E5" s="56">
        <f t="shared" si="3"/>
        <v>-12</v>
      </c>
    </row>
    <row r="6">
      <c r="A6" s="70">
        <v>45174.0</v>
      </c>
      <c r="B6" s="56">
        <v>87.3</v>
      </c>
      <c r="C6" s="40">
        <f t="shared" si="1"/>
        <v>15</v>
      </c>
      <c r="D6" s="56">
        <f t="shared" si="2"/>
        <v>-2.9</v>
      </c>
      <c r="E6" s="56">
        <f t="shared" si="3"/>
        <v>-5.4375</v>
      </c>
    </row>
    <row r="7">
      <c r="A7" s="70">
        <v>45179.0</v>
      </c>
      <c r="B7" s="56">
        <v>88.0</v>
      </c>
      <c r="C7" s="40">
        <f t="shared" si="1"/>
        <v>20</v>
      </c>
      <c r="D7" s="56">
        <f t="shared" si="2"/>
        <v>-2.2</v>
      </c>
      <c r="E7" s="56">
        <f t="shared" si="3"/>
        <v>-3.142857143</v>
      </c>
    </row>
    <row r="8">
      <c r="A8" s="70">
        <v>45195.0</v>
      </c>
      <c r="B8" s="56">
        <v>84.8</v>
      </c>
      <c r="C8" s="40">
        <f t="shared" si="1"/>
        <v>36</v>
      </c>
      <c r="D8" s="56">
        <f t="shared" si="2"/>
        <v>-5.4</v>
      </c>
      <c r="E8" s="56">
        <f t="shared" si="3"/>
        <v>-4.378378378</v>
      </c>
    </row>
    <row r="9">
      <c r="A9" s="70"/>
      <c r="B9" s="56"/>
      <c r="C9" s="40" t="str">
        <f t="shared" si="1"/>
        <v/>
      </c>
      <c r="D9" s="40" t="str">
        <f t="shared" si="2"/>
        <v/>
      </c>
      <c r="E9" s="56" t="str">
        <f t="shared" si="3"/>
        <v/>
      </c>
    </row>
    <row r="10">
      <c r="A10" s="70"/>
      <c r="B10" s="56"/>
      <c r="C10" s="40" t="str">
        <f t="shared" si="1"/>
        <v/>
      </c>
      <c r="D10" s="40" t="str">
        <f t="shared" si="2"/>
        <v/>
      </c>
      <c r="E10" s="56" t="str">
        <f t="shared" si="3"/>
        <v/>
      </c>
    </row>
    <row r="11">
      <c r="A11" s="70"/>
      <c r="B11" s="56"/>
      <c r="C11" s="40" t="str">
        <f t="shared" si="1"/>
        <v/>
      </c>
      <c r="D11" s="40" t="str">
        <f t="shared" si="2"/>
        <v/>
      </c>
      <c r="E11" s="56" t="str">
        <f t="shared" si="3"/>
        <v/>
      </c>
    </row>
    <row r="12">
      <c r="A12" s="70"/>
      <c r="B12" s="56"/>
      <c r="C12" s="40" t="str">
        <f t="shared" si="1"/>
        <v/>
      </c>
      <c r="D12" s="40" t="str">
        <f t="shared" si="2"/>
        <v/>
      </c>
      <c r="E12" s="56" t="str">
        <f t="shared" si="3"/>
        <v/>
      </c>
    </row>
    <row r="13">
      <c r="A13" s="70"/>
      <c r="B13" s="56"/>
      <c r="C13" s="40" t="str">
        <f t="shared" si="1"/>
        <v/>
      </c>
      <c r="D13" s="40" t="str">
        <f t="shared" si="2"/>
        <v/>
      </c>
      <c r="E13" s="56" t="str">
        <f t="shared" si="3"/>
        <v/>
      </c>
    </row>
    <row r="14">
      <c r="A14" s="70"/>
      <c r="B14" s="56"/>
      <c r="C14" s="40" t="str">
        <f t="shared" si="1"/>
        <v/>
      </c>
      <c r="D14" s="40" t="str">
        <f t="shared" si="2"/>
        <v/>
      </c>
      <c r="E14" s="56" t="str">
        <f t="shared" si="3"/>
        <v/>
      </c>
    </row>
    <row r="15">
      <c r="A15" s="70"/>
      <c r="B15" s="56"/>
      <c r="C15" s="40" t="str">
        <f t="shared" si="1"/>
        <v/>
      </c>
      <c r="D15" s="40" t="str">
        <f t="shared" si="2"/>
        <v/>
      </c>
      <c r="E15" s="56" t="str">
        <f t="shared" si="3"/>
        <v/>
      </c>
    </row>
    <row r="16">
      <c r="A16" s="70"/>
      <c r="B16" s="56"/>
      <c r="C16" s="40" t="str">
        <f t="shared" si="1"/>
        <v/>
      </c>
      <c r="D16" s="40" t="str">
        <f t="shared" si="2"/>
        <v/>
      </c>
      <c r="E16" s="56" t="str">
        <f t="shared" si="3"/>
        <v/>
      </c>
    </row>
    <row r="17">
      <c r="A17" s="70"/>
      <c r="B17" s="56"/>
      <c r="C17" s="40" t="str">
        <f t="shared" si="1"/>
        <v/>
      </c>
      <c r="D17" s="40" t="str">
        <f t="shared" si="2"/>
        <v/>
      </c>
      <c r="E17" s="56" t="str">
        <f t="shared" si="3"/>
        <v/>
      </c>
    </row>
    <row r="18">
      <c r="A18" s="70"/>
      <c r="B18" s="56"/>
      <c r="C18" s="40" t="str">
        <f t="shared" si="1"/>
        <v/>
      </c>
      <c r="D18" s="40" t="str">
        <f t="shared" si="2"/>
        <v/>
      </c>
      <c r="E18" s="56" t="str">
        <f t="shared" si="3"/>
        <v/>
      </c>
    </row>
    <row r="19">
      <c r="A19" s="70"/>
      <c r="B19" s="56"/>
      <c r="C19" s="40" t="str">
        <f t="shared" si="1"/>
        <v/>
      </c>
      <c r="D19" s="40" t="str">
        <f t="shared" si="2"/>
        <v/>
      </c>
      <c r="E19" s="56" t="str">
        <f t="shared" si="3"/>
        <v/>
      </c>
    </row>
    <row r="20">
      <c r="A20" s="70"/>
      <c r="B20" s="56"/>
      <c r="C20" s="40" t="str">
        <f t="shared" si="1"/>
        <v/>
      </c>
      <c r="D20" s="40" t="str">
        <f t="shared" si="2"/>
        <v/>
      </c>
      <c r="E20" s="56" t="str">
        <f t="shared" si="3"/>
        <v/>
      </c>
    </row>
    <row r="21">
      <c r="A21" s="70"/>
      <c r="B21" s="56"/>
      <c r="C21" s="40" t="str">
        <f t="shared" si="1"/>
        <v/>
      </c>
      <c r="D21" s="40" t="str">
        <f t="shared" si="2"/>
        <v/>
      </c>
      <c r="E21" s="56" t="str">
        <f t="shared" si="3"/>
        <v/>
      </c>
    </row>
    <row r="22">
      <c r="A22" s="70"/>
      <c r="B22" s="56"/>
      <c r="C22" s="40" t="str">
        <f t="shared" si="1"/>
        <v/>
      </c>
      <c r="D22" s="40" t="str">
        <f t="shared" si="2"/>
        <v/>
      </c>
      <c r="E22" s="56" t="str">
        <f t="shared" si="3"/>
        <v/>
      </c>
    </row>
    <row r="23">
      <c r="A23" s="70"/>
      <c r="B23" s="56"/>
      <c r="C23" s="40" t="str">
        <f t="shared" si="1"/>
        <v/>
      </c>
      <c r="D23" s="40" t="str">
        <f t="shared" si="2"/>
        <v/>
      </c>
      <c r="E23" s="56" t="str">
        <f t="shared" si="3"/>
        <v/>
      </c>
    </row>
    <row r="24">
      <c r="A24" s="70"/>
      <c r="B24" s="56"/>
      <c r="C24" s="40" t="str">
        <f t="shared" si="1"/>
        <v/>
      </c>
      <c r="D24" s="40" t="str">
        <f t="shared" si="2"/>
        <v/>
      </c>
      <c r="E24" s="56" t="str">
        <f t="shared" si="3"/>
        <v/>
      </c>
    </row>
    <row r="25">
      <c r="A25" s="70"/>
      <c r="B25" s="56"/>
      <c r="C25" s="40" t="str">
        <f t="shared" si="1"/>
        <v/>
      </c>
      <c r="D25" s="40" t="str">
        <f t="shared" si="2"/>
        <v/>
      </c>
      <c r="E25" s="56" t="str">
        <f t="shared" si="3"/>
        <v/>
      </c>
    </row>
    <row r="26">
      <c r="A26" s="70"/>
      <c r="B26" s="56"/>
      <c r="C26" s="40" t="str">
        <f t="shared" si="1"/>
        <v/>
      </c>
      <c r="D26" s="40" t="str">
        <f t="shared" si="2"/>
        <v/>
      </c>
      <c r="E26" s="56" t="str">
        <f t="shared" si="3"/>
        <v/>
      </c>
    </row>
    <row r="27">
      <c r="A27" s="70"/>
      <c r="B27" s="56"/>
      <c r="C27" s="40" t="str">
        <f t="shared" si="1"/>
        <v/>
      </c>
      <c r="D27" s="40" t="str">
        <f t="shared" si="2"/>
        <v/>
      </c>
      <c r="E27" s="56" t="str">
        <f t="shared" si="3"/>
        <v/>
      </c>
    </row>
    <row r="28">
      <c r="A28" s="70"/>
      <c r="B28" s="56"/>
      <c r="C28" s="40" t="str">
        <f t="shared" si="1"/>
        <v/>
      </c>
      <c r="D28" s="40" t="str">
        <f t="shared" si="2"/>
        <v/>
      </c>
      <c r="E28" s="56" t="str">
        <f t="shared" si="3"/>
        <v/>
      </c>
    </row>
    <row r="29">
      <c r="A29" s="70"/>
      <c r="B29" s="56"/>
      <c r="C29" s="40" t="str">
        <f t="shared" si="1"/>
        <v/>
      </c>
      <c r="D29" s="40" t="str">
        <f t="shared" si="2"/>
        <v/>
      </c>
      <c r="E29" s="56" t="str">
        <f t="shared" si="3"/>
        <v/>
      </c>
    </row>
    <row r="30">
      <c r="A30" s="70"/>
      <c r="B30" s="56"/>
      <c r="C30" s="40" t="str">
        <f t="shared" si="1"/>
        <v/>
      </c>
      <c r="D30" s="40" t="str">
        <f t="shared" si="2"/>
        <v/>
      </c>
      <c r="E30" s="56" t="str">
        <f t="shared" si="3"/>
        <v/>
      </c>
    </row>
    <row r="31">
      <c r="A31" s="70"/>
      <c r="B31" s="56"/>
      <c r="C31" s="40" t="str">
        <f t="shared" si="1"/>
        <v/>
      </c>
      <c r="D31" s="40" t="str">
        <f t="shared" si="2"/>
        <v/>
      </c>
      <c r="E31" s="56" t="str">
        <f t="shared" si="3"/>
        <v/>
      </c>
    </row>
    <row r="32">
      <c r="A32" s="70"/>
      <c r="B32" s="56"/>
      <c r="C32" s="40" t="str">
        <f t="shared" si="1"/>
        <v/>
      </c>
      <c r="D32" s="40" t="str">
        <f t="shared" si="2"/>
        <v/>
      </c>
      <c r="E32" s="56" t="str">
        <f t="shared" si="3"/>
        <v/>
      </c>
    </row>
    <row r="33">
      <c r="A33" s="70"/>
      <c r="B33" s="56"/>
      <c r="C33" s="40" t="str">
        <f t="shared" si="1"/>
        <v/>
      </c>
      <c r="D33" s="40" t="str">
        <f t="shared" si="2"/>
        <v/>
      </c>
      <c r="E33" s="56" t="str">
        <f t="shared" si="3"/>
        <v/>
      </c>
    </row>
    <row r="34">
      <c r="A34" s="70"/>
      <c r="B34" s="56"/>
      <c r="C34" s="40" t="str">
        <f t="shared" si="1"/>
        <v/>
      </c>
      <c r="D34" s="40" t="str">
        <f t="shared" si="2"/>
        <v/>
      </c>
      <c r="E34" s="56" t="str">
        <f t="shared" si="3"/>
        <v/>
      </c>
    </row>
    <row r="35">
      <c r="A35" s="70"/>
      <c r="B35" s="56"/>
      <c r="C35" s="40" t="str">
        <f t="shared" si="1"/>
        <v/>
      </c>
      <c r="D35" s="40" t="str">
        <f t="shared" si="2"/>
        <v/>
      </c>
      <c r="E35" s="56" t="str">
        <f t="shared" si="3"/>
        <v/>
      </c>
    </row>
    <row r="36">
      <c r="A36" s="70"/>
      <c r="B36" s="56"/>
      <c r="C36" s="40" t="str">
        <f t="shared" si="1"/>
        <v/>
      </c>
      <c r="D36" s="40" t="str">
        <f t="shared" si="2"/>
        <v/>
      </c>
      <c r="E36" s="56" t="str">
        <f t="shared" si="3"/>
        <v/>
      </c>
    </row>
    <row r="37">
      <c r="A37" s="70"/>
      <c r="B37" s="56"/>
      <c r="C37" s="40" t="str">
        <f t="shared" si="1"/>
        <v/>
      </c>
      <c r="D37" s="40" t="str">
        <f t="shared" si="2"/>
        <v/>
      </c>
      <c r="E37" s="56" t="str">
        <f t="shared" si="3"/>
        <v/>
      </c>
    </row>
    <row r="38">
      <c r="A38" s="70"/>
      <c r="B38" s="56"/>
      <c r="C38" s="40" t="str">
        <f t="shared" si="1"/>
        <v/>
      </c>
      <c r="D38" s="40" t="str">
        <f t="shared" si="2"/>
        <v/>
      </c>
      <c r="E38" s="56" t="str">
        <f t="shared" si="3"/>
        <v/>
      </c>
    </row>
    <row r="39">
      <c r="A39" s="70"/>
      <c r="B39" s="56"/>
      <c r="C39" s="40" t="str">
        <f t="shared" si="1"/>
        <v/>
      </c>
      <c r="D39" s="40" t="str">
        <f t="shared" si="2"/>
        <v/>
      </c>
      <c r="E39" s="56" t="str">
        <f t="shared" si="3"/>
        <v/>
      </c>
    </row>
    <row r="40">
      <c r="A40" s="70"/>
      <c r="B40" s="56"/>
      <c r="C40" s="40" t="str">
        <f t="shared" si="1"/>
        <v/>
      </c>
      <c r="D40" s="40" t="str">
        <f t="shared" si="2"/>
        <v/>
      </c>
      <c r="E40" s="56" t="str">
        <f t="shared" si="3"/>
        <v/>
      </c>
    </row>
    <row r="41">
      <c r="A41" s="70"/>
      <c r="B41" s="56"/>
      <c r="C41" s="40" t="str">
        <f t="shared" si="1"/>
        <v/>
      </c>
      <c r="D41" s="40" t="str">
        <f t="shared" si="2"/>
        <v/>
      </c>
      <c r="E41" s="56" t="str">
        <f t="shared" si="3"/>
        <v/>
      </c>
    </row>
    <row r="42">
      <c r="A42" s="70"/>
      <c r="B42" s="56"/>
      <c r="C42" s="40" t="str">
        <f t="shared" si="1"/>
        <v/>
      </c>
      <c r="D42" s="40" t="str">
        <f t="shared" si="2"/>
        <v/>
      </c>
      <c r="E42" s="56" t="str">
        <f t="shared" si="3"/>
        <v/>
      </c>
    </row>
    <row r="43">
      <c r="A43" s="70"/>
      <c r="B43" s="56"/>
      <c r="C43" s="40" t="str">
        <f t="shared" si="1"/>
        <v/>
      </c>
      <c r="D43" s="40" t="str">
        <f t="shared" si="2"/>
        <v/>
      </c>
      <c r="E43" s="56" t="str">
        <f t="shared" si="3"/>
        <v/>
      </c>
    </row>
    <row r="44">
      <c r="A44" s="70"/>
      <c r="B44" s="56"/>
      <c r="C44" s="40" t="str">
        <f t="shared" si="1"/>
        <v/>
      </c>
      <c r="D44" s="40" t="str">
        <f t="shared" si="2"/>
        <v/>
      </c>
      <c r="E44" s="56" t="str">
        <f t="shared" si="3"/>
        <v/>
      </c>
    </row>
    <row r="45">
      <c r="A45" s="70"/>
      <c r="B45" s="56"/>
      <c r="C45" s="40" t="str">
        <f t="shared" si="1"/>
        <v/>
      </c>
      <c r="D45" s="40" t="str">
        <f t="shared" si="2"/>
        <v/>
      </c>
      <c r="E45" s="56" t="str">
        <f t="shared" si="3"/>
        <v/>
      </c>
    </row>
    <row r="46">
      <c r="A46" s="70"/>
      <c r="B46" s="56"/>
      <c r="C46" s="40" t="str">
        <f t="shared" si="1"/>
        <v/>
      </c>
      <c r="D46" s="40" t="str">
        <f t="shared" si="2"/>
        <v/>
      </c>
      <c r="E46" s="56" t="str">
        <f t="shared" si="3"/>
        <v/>
      </c>
    </row>
    <row r="47">
      <c r="A47" s="70"/>
      <c r="B47" s="56"/>
      <c r="C47" s="40" t="str">
        <f t="shared" si="1"/>
        <v/>
      </c>
      <c r="D47" s="40" t="str">
        <f t="shared" si="2"/>
        <v/>
      </c>
      <c r="E47" s="56" t="str">
        <f t="shared" si="3"/>
        <v/>
      </c>
    </row>
    <row r="48">
      <c r="A48" s="70"/>
      <c r="B48" s="40"/>
      <c r="C48" s="40" t="str">
        <f t="shared" si="1"/>
        <v/>
      </c>
      <c r="D48" s="40" t="str">
        <f t="shared" si="2"/>
        <v/>
      </c>
      <c r="E48" s="56" t="str">
        <f t="shared" si="3"/>
        <v/>
      </c>
    </row>
    <row r="49">
      <c r="A49" s="70"/>
      <c r="B49" s="40"/>
      <c r="C49" s="40" t="str">
        <f t="shared" si="1"/>
        <v/>
      </c>
      <c r="D49" s="40" t="str">
        <f t="shared" si="2"/>
        <v/>
      </c>
      <c r="E49" s="56" t="str">
        <f t="shared" si="3"/>
        <v/>
      </c>
    </row>
    <row r="50">
      <c r="A50" s="70"/>
      <c r="B50" s="40"/>
      <c r="C50" s="40" t="str">
        <f t="shared" si="1"/>
        <v/>
      </c>
      <c r="D50" s="40" t="str">
        <f t="shared" si="2"/>
        <v/>
      </c>
      <c r="E50" s="56" t="str">
        <f t="shared" si="3"/>
        <v/>
      </c>
    </row>
    <row r="51">
      <c r="A51" s="70"/>
      <c r="B51" s="40"/>
      <c r="C51" s="40" t="str">
        <f t="shared" si="1"/>
        <v/>
      </c>
      <c r="D51" s="40" t="str">
        <f t="shared" si="2"/>
        <v/>
      </c>
      <c r="E51" s="56" t="str">
        <f t="shared" si="3"/>
        <v/>
      </c>
    </row>
    <row r="52">
      <c r="A52" s="70"/>
      <c r="B52" s="40"/>
      <c r="C52" s="40" t="str">
        <f t="shared" si="1"/>
        <v/>
      </c>
      <c r="D52" s="40" t="str">
        <f t="shared" si="2"/>
        <v/>
      </c>
      <c r="E52" s="56" t="str">
        <f t="shared" si="3"/>
        <v/>
      </c>
    </row>
    <row r="53">
      <c r="A53" s="70"/>
      <c r="B53" s="40"/>
      <c r="C53" s="40" t="str">
        <f t="shared" si="1"/>
        <v/>
      </c>
      <c r="D53" s="40" t="str">
        <f t="shared" si="2"/>
        <v/>
      </c>
      <c r="E53" s="56" t="str">
        <f t="shared" si="3"/>
        <v/>
      </c>
    </row>
    <row r="54">
      <c r="A54" s="70"/>
      <c r="B54" s="40"/>
      <c r="C54" s="40" t="str">
        <f t="shared" si="1"/>
        <v/>
      </c>
      <c r="D54" s="40" t="str">
        <f t="shared" si="2"/>
        <v/>
      </c>
      <c r="E54" s="56" t="str">
        <f t="shared" si="3"/>
        <v/>
      </c>
    </row>
    <row r="55">
      <c r="A55" s="70"/>
      <c r="B55" s="40"/>
      <c r="C55" s="40" t="str">
        <f t="shared" si="1"/>
        <v/>
      </c>
      <c r="D55" s="40" t="str">
        <f t="shared" si="2"/>
        <v/>
      </c>
      <c r="E55" s="56" t="str">
        <f t="shared" si="3"/>
        <v/>
      </c>
    </row>
    <row r="56">
      <c r="A56" s="70"/>
      <c r="B56" s="40"/>
      <c r="C56" s="40" t="str">
        <f t="shared" si="1"/>
        <v/>
      </c>
      <c r="D56" s="40" t="str">
        <f t="shared" si="2"/>
        <v/>
      </c>
      <c r="E56" s="56" t="str">
        <f t="shared" si="3"/>
        <v/>
      </c>
    </row>
    <row r="57">
      <c r="A57" s="70"/>
      <c r="B57" s="40"/>
      <c r="C57" s="40" t="str">
        <f t="shared" si="1"/>
        <v/>
      </c>
      <c r="D57" s="40" t="str">
        <f t="shared" si="2"/>
        <v/>
      </c>
      <c r="E57" s="56" t="str">
        <f t="shared" si="3"/>
        <v/>
      </c>
    </row>
    <row r="58">
      <c r="A58" s="70"/>
      <c r="B58" s="40"/>
      <c r="C58" s="40" t="str">
        <f t="shared" si="1"/>
        <v/>
      </c>
      <c r="D58" s="40" t="str">
        <f t="shared" si="2"/>
        <v/>
      </c>
      <c r="E58" s="56" t="str">
        <f t="shared" si="3"/>
        <v/>
      </c>
    </row>
    <row r="59">
      <c r="A59" s="70"/>
      <c r="B59" s="40"/>
      <c r="C59" s="40" t="str">
        <f t="shared" si="1"/>
        <v/>
      </c>
      <c r="D59" s="40" t="str">
        <f t="shared" si="2"/>
        <v/>
      </c>
      <c r="E59" s="56" t="str">
        <f t="shared" si="3"/>
        <v/>
      </c>
    </row>
    <row r="60">
      <c r="A60" s="70"/>
      <c r="B60" s="40"/>
      <c r="C60" s="40" t="str">
        <f t="shared" si="1"/>
        <v/>
      </c>
      <c r="D60" s="40" t="str">
        <f t="shared" si="2"/>
        <v/>
      </c>
      <c r="E60" s="56" t="str">
        <f t="shared" si="3"/>
        <v/>
      </c>
    </row>
    <row r="61">
      <c r="A61" s="70"/>
      <c r="B61" s="40"/>
      <c r="C61" s="40" t="str">
        <f t="shared" si="1"/>
        <v/>
      </c>
      <c r="D61" s="40" t="str">
        <f t="shared" si="2"/>
        <v/>
      </c>
      <c r="E61" s="56" t="str">
        <f t="shared" si="3"/>
        <v/>
      </c>
    </row>
    <row r="62">
      <c r="A62" s="70"/>
      <c r="B62" s="40"/>
      <c r="C62" s="40" t="str">
        <f t="shared" si="1"/>
        <v/>
      </c>
      <c r="D62" s="40" t="str">
        <f t="shared" si="2"/>
        <v/>
      </c>
      <c r="E62" s="56" t="str">
        <f t="shared" si="3"/>
        <v/>
      </c>
    </row>
    <row r="63">
      <c r="A63" s="70"/>
      <c r="B63" s="40"/>
      <c r="C63" s="40" t="str">
        <f t="shared" si="1"/>
        <v/>
      </c>
      <c r="D63" s="40" t="str">
        <f t="shared" si="2"/>
        <v/>
      </c>
      <c r="E63" s="56" t="str">
        <f t="shared" si="3"/>
        <v/>
      </c>
    </row>
    <row r="64">
      <c r="A64" s="70"/>
      <c r="B64" s="40"/>
      <c r="C64" s="40" t="str">
        <f t="shared" si="1"/>
        <v/>
      </c>
      <c r="D64" s="40" t="str">
        <f t="shared" si="2"/>
        <v/>
      </c>
      <c r="E64" s="56" t="str">
        <f t="shared" si="3"/>
        <v/>
      </c>
    </row>
    <row r="65">
      <c r="A65" s="70"/>
      <c r="B65" s="40"/>
      <c r="C65" s="40" t="str">
        <f t="shared" si="1"/>
        <v/>
      </c>
      <c r="D65" s="40" t="str">
        <f t="shared" si="2"/>
        <v/>
      </c>
      <c r="E65" s="56" t="str">
        <f t="shared" si="3"/>
        <v/>
      </c>
    </row>
    <row r="66">
      <c r="A66" s="70"/>
      <c r="B66" s="40"/>
      <c r="C66" s="40" t="str">
        <f t="shared" si="1"/>
        <v/>
      </c>
      <c r="D66" s="40" t="str">
        <f t="shared" si="2"/>
        <v/>
      </c>
      <c r="E66" s="56" t="str">
        <f t="shared" si="3"/>
        <v/>
      </c>
    </row>
    <row r="67">
      <c r="A67" s="70"/>
      <c r="B67" s="40"/>
      <c r="C67" s="40" t="str">
        <f t="shared" si="1"/>
        <v/>
      </c>
      <c r="D67" s="40" t="str">
        <f t="shared" si="2"/>
        <v/>
      </c>
      <c r="E67" s="56" t="str">
        <f t="shared" si="3"/>
        <v/>
      </c>
    </row>
    <row r="68">
      <c r="A68" s="70"/>
      <c r="B68" s="40"/>
      <c r="C68" s="40" t="str">
        <f t="shared" si="1"/>
        <v/>
      </c>
      <c r="D68" s="40" t="str">
        <f t="shared" si="2"/>
        <v/>
      </c>
      <c r="E68" s="56" t="str">
        <f t="shared" si="3"/>
        <v/>
      </c>
    </row>
    <row r="69">
      <c r="A69" s="70"/>
      <c r="B69" s="40"/>
      <c r="C69" s="40" t="str">
        <f t="shared" si="1"/>
        <v/>
      </c>
      <c r="D69" s="40" t="str">
        <f t="shared" si="2"/>
        <v/>
      </c>
      <c r="E69" s="56" t="str">
        <f t="shared" si="3"/>
        <v/>
      </c>
    </row>
    <row r="70">
      <c r="A70" s="70"/>
      <c r="B70" s="40"/>
      <c r="C70" s="40" t="str">
        <f t="shared" si="1"/>
        <v/>
      </c>
      <c r="D70" s="40" t="str">
        <f t="shared" si="2"/>
        <v/>
      </c>
      <c r="E70" s="56" t="str">
        <f t="shared" si="3"/>
        <v/>
      </c>
    </row>
    <row r="71">
      <c r="A71" s="70"/>
      <c r="B71" s="40"/>
      <c r="C71" s="40" t="str">
        <f t="shared" si="1"/>
        <v/>
      </c>
      <c r="D71" s="40" t="str">
        <f t="shared" si="2"/>
        <v/>
      </c>
      <c r="E71" s="56" t="str">
        <f t="shared" si="3"/>
        <v/>
      </c>
    </row>
    <row r="72">
      <c r="A72" s="70"/>
      <c r="B72" s="40"/>
      <c r="C72" s="40" t="str">
        <f t="shared" si="1"/>
        <v/>
      </c>
      <c r="D72" s="40" t="str">
        <f t="shared" si="2"/>
        <v/>
      </c>
      <c r="E72" s="56" t="str">
        <f t="shared" si="3"/>
        <v/>
      </c>
    </row>
    <row r="73">
      <c r="A73" s="70"/>
      <c r="B73" s="40"/>
      <c r="C73" s="40" t="str">
        <f t="shared" si="1"/>
        <v/>
      </c>
      <c r="D73" s="40" t="str">
        <f t="shared" si="2"/>
        <v/>
      </c>
      <c r="E73" s="56" t="str">
        <f t="shared" si="3"/>
        <v/>
      </c>
    </row>
    <row r="74">
      <c r="A74" s="70"/>
      <c r="B74" s="40"/>
      <c r="C74" s="40" t="str">
        <f t="shared" si="1"/>
        <v/>
      </c>
      <c r="D74" s="40" t="str">
        <f t="shared" si="2"/>
        <v/>
      </c>
      <c r="E74" s="56" t="str">
        <f t="shared" si="3"/>
        <v/>
      </c>
    </row>
    <row r="75">
      <c r="A75" s="70"/>
      <c r="B75" s="40"/>
      <c r="C75" s="40" t="str">
        <f t="shared" si="1"/>
        <v/>
      </c>
      <c r="D75" s="40" t="str">
        <f t="shared" si="2"/>
        <v/>
      </c>
      <c r="E75" s="56" t="str">
        <f t="shared" si="3"/>
        <v/>
      </c>
    </row>
    <row r="76">
      <c r="A76" s="70"/>
      <c r="B76" s="40"/>
      <c r="C76" s="40" t="str">
        <f t="shared" si="1"/>
        <v/>
      </c>
      <c r="D76" s="40" t="str">
        <f t="shared" si="2"/>
        <v/>
      </c>
      <c r="E76" s="56" t="str">
        <f t="shared" si="3"/>
        <v/>
      </c>
    </row>
    <row r="77">
      <c r="A77" s="70"/>
      <c r="B77" s="40"/>
      <c r="C77" s="40" t="str">
        <f t="shared" si="1"/>
        <v/>
      </c>
      <c r="D77" s="40" t="str">
        <f t="shared" si="2"/>
        <v/>
      </c>
      <c r="E77" s="56" t="str">
        <f t="shared" si="3"/>
        <v/>
      </c>
    </row>
    <row r="78">
      <c r="A78" s="70"/>
      <c r="B78" s="40"/>
      <c r="C78" s="40" t="str">
        <f t="shared" si="1"/>
        <v/>
      </c>
      <c r="D78" s="40" t="str">
        <f t="shared" si="2"/>
        <v/>
      </c>
      <c r="E78" s="56" t="str">
        <f t="shared" si="3"/>
        <v/>
      </c>
    </row>
    <row r="79">
      <c r="A79" s="70"/>
      <c r="B79" s="40"/>
      <c r="C79" s="40" t="str">
        <f t="shared" si="1"/>
        <v/>
      </c>
      <c r="D79" s="40" t="str">
        <f t="shared" si="2"/>
        <v/>
      </c>
      <c r="E79" s="56" t="str">
        <f t="shared" si="3"/>
        <v/>
      </c>
    </row>
    <row r="80">
      <c r="A80" s="70"/>
      <c r="B80" s="40"/>
      <c r="C80" s="40" t="str">
        <f t="shared" si="1"/>
        <v/>
      </c>
      <c r="D80" s="40" t="str">
        <f t="shared" si="2"/>
        <v/>
      </c>
      <c r="E80" s="56" t="str">
        <f t="shared" si="3"/>
        <v/>
      </c>
    </row>
  </sheetData>
  <conditionalFormatting sqref="B1:B80">
    <cfRule type="colorScale" priority="1">
      <colorScale>
        <cfvo type="formula" val="82"/>
        <cfvo type="formula" val="86"/>
        <cfvo type="formula" val="90.2"/>
        <color rgb="FF57BB8A"/>
        <color rgb="FFFFFFFF"/>
        <color rgb="FFE67C73"/>
      </colorScale>
    </cfRule>
  </conditionalFormatting>
  <dataValidations>
    <dataValidation type="custom" allowBlank="1" showDropDown="1" sqref="A1:A80">
      <formula1>OR(NOT(ISERROR(DATEVALUE(A1))), AND(ISNUMBER(A1), LEFT(CELL("format", A1))="D"))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158</v>
      </c>
    </row>
    <row r="2">
      <c r="A2" s="72" t="s">
        <v>159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</cols>
  <sheetData>
    <row r="1" ht="225.0" customHeight="1"/>
    <row r="3" ht="22.5" customHeight="1">
      <c r="A3" s="73" t="s">
        <v>160</v>
      </c>
      <c r="B3" s="73" t="s">
        <v>4</v>
      </c>
      <c r="C3" s="73" t="s">
        <v>6</v>
      </c>
      <c r="D3" s="73" t="s">
        <v>8</v>
      </c>
    </row>
    <row r="4" ht="22.5" customHeight="1">
      <c r="A4" s="74">
        <v>2018.0</v>
      </c>
      <c r="B4" s="74">
        <v>2.0</v>
      </c>
      <c r="C4" s="74">
        <v>2.0</v>
      </c>
      <c r="D4" s="75"/>
    </row>
    <row r="5" ht="22.5" customHeight="1">
      <c r="A5" s="74">
        <v>2019.0</v>
      </c>
      <c r="B5" s="74">
        <v>10.0</v>
      </c>
      <c r="C5" s="74">
        <v>1.0</v>
      </c>
      <c r="D5" s="75"/>
    </row>
    <row r="6" ht="22.5" customHeight="1">
      <c r="A6" s="74">
        <v>2020.0</v>
      </c>
      <c r="B6" s="74">
        <v>4.0</v>
      </c>
      <c r="C6" s="75"/>
      <c r="D6" s="74">
        <v>3.0</v>
      </c>
    </row>
    <row r="7" ht="22.5" customHeight="1">
      <c r="A7" s="74">
        <v>2021.0</v>
      </c>
      <c r="B7" s="74">
        <v>2.0</v>
      </c>
      <c r="C7" s="75"/>
      <c r="D7" s="75"/>
    </row>
    <row r="8" ht="22.5" customHeight="1">
      <c r="A8" s="74">
        <v>2023.0</v>
      </c>
      <c r="B8" s="75"/>
      <c r="C8" s="75"/>
      <c r="D8" s="74">
        <v>1.0</v>
      </c>
    </row>
    <row r="9" ht="22.5" customHeight="1">
      <c r="A9" s="74">
        <v>2025.0</v>
      </c>
      <c r="B9" s="74">
        <v>7.0</v>
      </c>
      <c r="C9" s="75"/>
      <c r="D9" s="74">
        <v>2.0</v>
      </c>
    </row>
    <row r="10" ht="22.5" customHeight="1">
      <c r="A10" s="74">
        <v>2026.0</v>
      </c>
      <c r="B10" s="74">
        <v>2.0</v>
      </c>
      <c r="C10" s="75"/>
      <c r="D10" s="74">
        <v>1.0</v>
      </c>
    </row>
  </sheetData>
  <dataValidations>
    <dataValidation type="custom" allowBlank="1" showDropDown="1" sqref="A4:D10">
      <formula1>AND(ISNUMBER(A4),(NOT(OR(NOT(ISERROR(DATEVALUE(A4))), AND(ISNUMBER(A4), LEFT(CELL("format", A4))="D")))))</formula1>
    </dataValidation>
  </dataValidations>
  <drawing r:id="rId1"/>
  <tableParts count="1">
    <tablePart r:id="rId3"/>
  </tableParts>
</worksheet>
</file>